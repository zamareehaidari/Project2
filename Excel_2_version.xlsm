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ahim\OneDrive\Documents\programming files\"/>
    </mc:Choice>
  </mc:AlternateContent>
  <xr:revisionPtr revIDLastSave="0" documentId="13_ncr:1_{DB5C1739-A769-4664-A52A-957FCDC6EBBF}" xr6:coauthVersionLast="47" xr6:coauthVersionMax="47" xr10:uidLastSave="{00000000-0000-0000-0000-000000000000}"/>
  <bookViews>
    <workbookView xWindow="-108" yWindow="-108" windowWidth="23256" windowHeight="12456" activeTab="4" xr2:uid="{4224ADA1-167E-4298-A975-D0FE7B0E509F}"/>
  </bookViews>
  <sheets>
    <sheet name="Maindatabase" sheetId="1" r:id="rId1"/>
    <sheet name="Order Summary" sheetId="2" r:id="rId2"/>
    <sheet name="Pivot table" sheetId="8" r:id="rId3"/>
    <sheet name="Customer details" sheetId="6" r:id="rId4"/>
    <sheet name="NewOrder" sheetId="9" r:id="rId5"/>
  </sheets>
  <functionGroups builtInGroupCount="19"/>
  <definedNames>
    <definedName name="Customer_Details">'Customer details'!$A$1:$E$2</definedName>
    <definedName name="Maindatabase">Maindatabase!$A$1:$P$41</definedName>
    <definedName name="Order_summary">'Order Summary'!$A$1:$F$41</definedName>
    <definedName name="Pivotable">'Pivot table'!$A$1:$B$44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</calcChain>
</file>

<file path=xl/sharedStrings.xml><?xml version="1.0" encoding="utf-8"?>
<sst xmlns="http://schemas.openxmlformats.org/spreadsheetml/2006/main" count="723" uniqueCount="401">
  <si>
    <t>CustomerID</t>
  </si>
  <si>
    <t>CustomerName</t>
  </si>
  <si>
    <t>Phone number</t>
  </si>
  <si>
    <t>Email</t>
  </si>
  <si>
    <t>Address</t>
  </si>
  <si>
    <t>Postcode</t>
  </si>
  <si>
    <t>ItemID</t>
  </si>
  <si>
    <t>ItemName</t>
  </si>
  <si>
    <t>Category</t>
  </si>
  <si>
    <t>Quantity</t>
  </si>
  <si>
    <t>Price</t>
  </si>
  <si>
    <t>StockQuantity</t>
  </si>
  <si>
    <t>OrderID</t>
  </si>
  <si>
    <t>OrderDate</t>
  </si>
  <si>
    <t>Driver</t>
  </si>
  <si>
    <t xml:space="preserve">Transaction type </t>
  </si>
  <si>
    <t>C1</t>
  </si>
  <si>
    <t>Izzy Stone</t>
  </si>
  <si>
    <t>1 5 1 7 7 1 5 1 7 9 9</t>
  </si>
  <si>
    <t>aiman.newman@aol.com</t>
  </si>
  <si>
    <t>30 Gladstone Drive, Sittingbourne</t>
  </si>
  <si>
    <t>ME10 3BJ</t>
  </si>
  <si>
    <t>I01</t>
  </si>
  <si>
    <t>Lamb Doner</t>
  </si>
  <si>
    <t>Kebab</t>
  </si>
  <si>
    <t>R01</t>
  </si>
  <si>
    <t>Anton</t>
  </si>
  <si>
    <t>Cash</t>
  </si>
  <si>
    <t>C2</t>
  </si>
  <si>
    <t>John Smith</t>
  </si>
  <si>
    <t>7 5 3 10 3 4 2 9 4 3 4</t>
  </si>
  <si>
    <t>muuazne6ou259c0l@msn.com</t>
  </si>
  <si>
    <t>3 Poplar Close, Weavering</t>
  </si>
  <si>
    <t>ME14 4FA</t>
  </si>
  <si>
    <t>I02</t>
  </si>
  <si>
    <t>Chicken Doner</t>
  </si>
  <si>
    <t>R02</t>
  </si>
  <si>
    <t>Peter</t>
  </si>
  <si>
    <t>Card</t>
  </si>
  <si>
    <t>C3</t>
  </si>
  <si>
    <t>Peter Ashley</t>
  </si>
  <si>
    <t>6 6 3 10 5 4 5 9 5 4 8</t>
  </si>
  <si>
    <t>jevan.lee@outlook.com</t>
  </si>
  <si>
    <t>29 Norfolk Road, Maidstone</t>
  </si>
  <si>
    <t>ME15 7JQ</t>
  </si>
  <si>
    <t>IO3</t>
  </si>
  <si>
    <t>Lamb Shish</t>
  </si>
  <si>
    <t>R03</t>
  </si>
  <si>
    <t>C4</t>
  </si>
  <si>
    <t>Kevin Martin</t>
  </si>
  <si>
    <t>8 4 8 6 2 7 3 3 3 6 1</t>
  </si>
  <si>
    <t>c8xnu2m1v54211stzwe@rediffmail.com</t>
  </si>
  <si>
    <t>28 Horsham Lane, Upchurch</t>
  </si>
  <si>
    <t>ME9 7AN</t>
  </si>
  <si>
    <t>IO4</t>
  </si>
  <si>
    <t>Chicken Shish</t>
  </si>
  <si>
    <t>R04</t>
  </si>
  <si>
    <t>Shiva</t>
  </si>
  <si>
    <t>C5</t>
  </si>
  <si>
    <t>Jack White</t>
  </si>
  <si>
    <t>6 1 3 4 1 9 9 9 7 4 8</t>
  </si>
  <si>
    <t>roderick.cortez@googlemail.com</t>
  </si>
  <si>
    <t>1 Steadman Close, Snodland</t>
  </si>
  <si>
    <t>ME6 5FT</t>
  </si>
  <si>
    <t>IO5</t>
  </si>
  <si>
    <t>Kofte</t>
  </si>
  <si>
    <t>R05</t>
  </si>
  <si>
    <t>C6</t>
  </si>
  <si>
    <t>Sarah Khan</t>
  </si>
  <si>
    <t>10 9 4 4 9 1 6 2 8 9 2</t>
  </si>
  <si>
    <t>8z8tgt6ekc1tyb@hotmail.com</t>
  </si>
  <si>
    <t>Bridge House, Bow Bridge, Wateringbury</t>
  </si>
  <si>
    <t>ME18 5ED</t>
  </si>
  <si>
    <t>IO6</t>
  </si>
  <si>
    <t>Larkfield Special</t>
  </si>
  <si>
    <t>R06</t>
  </si>
  <si>
    <t>C7</t>
  </si>
  <si>
    <t>Emma Johnston</t>
  </si>
  <si>
    <t>8 1 7 6 1 1 10 4 9 5 9</t>
  </si>
  <si>
    <t>hamzah.santos@outlook.com</t>
  </si>
  <si>
    <t>16 Cranleigh Gardens, Chatham</t>
  </si>
  <si>
    <t>ME4 6UN</t>
  </si>
  <si>
    <t>IO7</t>
  </si>
  <si>
    <t>Vegi Kebab</t>
  </si>
  <si>
    <t>R07</t>
  </si>
  <si>
    <t>C8</t>
  </si>
  <si>
    <t>Abbie Tegan</t>
  </si>
  <si>
    <t>1 1 7 2 9 3 1 5 1 1 8</t>
  </si>
  <si>
    <t>pke54bvpfi6yoso4tn@aol.com</t>
  </si>
  <si>
    <t>6 St Nicholas Road, Faversham</t>
  </si>
  <si>
    <t>ME13 7PG</t>
  </si>
  <si>
    <t>IO8</t>
  </si>
  <si>
    <t>Spicy wings</t>
  </si>
  <si>
    <t>Side orders</t>
  </si>
  <si>
    <t>R08</t>
  </si>
  <si>
    <t>C9</t>
  </si>
  <si>
    <t>Sue Smith</t>
  </si>
  <si>
    <t>8 9 10 4 2 1 5 9 1 9 7</t>
  </si>
  <si>
    <t>braydon.stout@ymail.com</t>
  </si>
  <si>
    <t>3 Colegate Drive, Bearsted</t>
  </si>
  <si>
    <t>ME14 4DP</t>
  </si>
  <si>
    <t>IO9</t>
  </si>
  <si>
    <t>Spicy BBQ wings</t>
  </si>
  <si>
    <t>R09</t>
  </si>
  <si>
    <t>Cosmin</t>
  </si>
  <si>
    <t>C10</t>
  </si>
  <si>
    <t>Bailey Jackson</t>
  </si>
  <si>
    <t>9 10 1 2 8 4 6 5 1 1 4</t>
  </si>
  <si>
    <t>ps2aybu9s74g0o@aol.com</t>
  </si>
  <si>
    <t>17 Rivermead, St Marys Island</t>
  </si>
  <si>
    <t>ME4 3JR</t>
  </si>
  <si>
    <t>IO10</t>
  </si>
  <si>
    <t>Chicken Nuggets</t>
  </si>
  <si>
    <t>R10</t>
  </si>
  <si>
    <t>C11</t>
  </si>
  <si>
    <t>Hewad Sayed</t>
  </si>
  <si>
    <t>4 7 6 9 7 10 7 8 3 2 2</t>
  </si>
  <si>
    <t>colvin.mccarthy@outlook.com</t>
  </si>
  <si>
    <t>15 Rosemary Road, East Malling</t>
  </si>
  <si>
    <t>ME19 6ET</t>
  </si>
  <si>
    <t>IO11</t>
  </si>
  <si>
    <t>Chicken strips</t>
  </si>
  <si>
    <t>R11</t>
  </si>
  <si>
    <t>C12</t>
  </si>
  <si>
    <t>Muzamil Rasully</t>
  </si>
  <si>
    <t>10 1 1 7 3 6 9 7 9 6 4</t>
  </si>
  <si>
    <t>kiktk9qmffu9ii@yahoo.com</t>
  </si>
  <si>
    <t>11 Morland Drive, Rochester</t>
  </si>
  <si>
    <t>ME2 3LW</t>
  </si>
  <si>
    <t>IO12</t>
  </si>
  <si>
    <t>Chicken popcorn</t>
  </si>
  <si>
    <t>R12</t>
  </si>
  <si>
    <t>C13</t>
  </si>
  <si>
    <t>Faisal Alam</t>
  </si>
  <si>
    <t>1 1 5 4 6 2 8 8 7 4 10</t>
  </si>
  <si>
    <t>norrie.tran@rediffmail.com</t>
  </si>
  <si>
    <t>35 Millcroft Road, Cliffe</t>
  </si>
  <si>
    <t>ME3 7QN</t>
  </si>
  <si>
    <t>IO13</t>
  </si>
  <si>
    <t>Lamb doner wrap</t>
  </si>
  <si>
    <t>Wraps</t>
  </si>
  <si>
    <t>R13</t>
  </si>
  <si>
    <t>C14</t>
  </si>
  <si>
    <t>Majeed Haroon</t>
  </si>
  <si>
    <t>7 4 8 2 4 6 6 6 6 9 7</t>
  </si>
  <si>
    <t>5l60jczbcndck74077mn@yahoo.com</t>
  </si>
  <si>
    <t>Len Hurst, Fairbourne Lane, Harrietsham</t>
  </si>
  <si>
    <t>ME17 1LJ</t>
  </si>
  <si>
    <t>IO14</t>
  </si>
  <si>
    <t>Chicken doner wrap</t>
  </si>
  <si>
    <t>R14</t>
  </si>
  <si>
    <t>C15</t>
  </si>
  <si>
    <t>Rami Hallufi</t>
  </si>
  <si>
    <t>7 1 2 8 1 2 10 7 10 7 8</t>
  </si>
  <si>
    <t>bailie.george@googlemail.com</t>
  </si>
  <si>
    <t>15 Voisin Close, Hoo</t>
  </si>
  <si>
    <t>ME3 9UQ</t>
  </si>
  <si>
    <t>IO15</t>
  </si>
  <si>
    <t>Lamb shish wrap</t>
  </si>
  <si>
    <t>R15</t>
  </si>
  <si>
    <t>C16</t>
  </si>
  <si>
    <t>Waj Rasully</t>
  </si>
  <si>
    <t>8 6 3 1 9 1 1 1 4 5 4</t>
  </si>
  <si>
    <t>4p22s97nzx7lnkd@yahoo.com</t>
  </si>
  <si>
    <t>84 Hawthorn Road, Rochester</t>
  </si>
  <si>
    <t>ME2 2HP</t>
  </si>
  <si>
    <t>IO16</t>
  </si>
  <si>
    <t>Chicken shish wrap</t>
  </si>
  <si>
    <t>R16</t>
  </si>
  <si>
    <t>C17</t>
  </si>
  <si>
    <t>Matin Khan</t>
  </si>
  <si>
    <t>5 1 4 3 2 1 10 9 7 4 7</t>
  </si>
  <si>
    <t>caedan.mayo@gmail.com</t>
  </si>
  <si>
    <t>11 Nursery Road, Ditton</t>
  </si>
  <si>
    <t>ME20 6DY</t>
  </si>
  <si>
    <t>IO17</t>
  </si>
  <si>
    <t>Chickeb Burger</t>
  </si>
  <si>
    <t>Burgers</t>
  </si>
  <si>
    <t>R17</t>
  </si>
  <si>
    <t>C18</t>
  </si>
  <si>
    <t>Khubaan Rahimi</t>
  </si>
  <si>
    <t>6 6 5 2 10 7 8 2 9 5 1</t>
  </si>
  <si>
    <t>tkv4wshfltb1@hotmail.com</t>
  </si>
  <si>
    <t>90 Burnham Walk, Rainham</t>
  </si>
  <si>
    <t>ME8 8RX</t>
  </si>
  <si>
    <t>IO18</t>
  </si>
  <si>
    <t>Beef Burger</t>
  </si>
  <si>
    <t>R18</t>
  </si>
  <si>
    <t>C19</t>
  </si>
  <si>
    <t>Lailla Ibrahim</t>
  </si>
  <si>
    <t>3 1 3 1 2 8 4 3 8 9 6</t>
  </si>
  <si>
    <t>haseeb.mcclure@ymail.com</t>
  </si>
  <si>
    <t>5 Evergreen Close, Hempstead</t>
  </si>
  <si>
    <t>ME7 3QY</t>
  </si>
  <si>
    <t>IO19</t>
  </si>
  <si>
    <t>Shish burger</t>
  </si>
  <si>
    <t>R19</t>
  </si>
  <si>
    <t>C20</t>
  </si>
  <si>
    <t>Zeenat Qaumi</t>
  </si>
  <si>
    <t>8 10 6 10 1 8 1 6 10 10 1</t>
  </si>
  <si>
    <t>hwvulqkvhln@ymail.com</t>
  </si>
  <si>
    <t>675 Tonbridge Road, Maidstone</t>
  </si>
  <si>
    <t>ME16 9DQ</t>
  </si>
  <si>
    <t>IO20</t>
  </si>
  <si>
    <t>Special burger</t>
  </si>
  <si>
    <t>R20</t>
  </si>
  <si>
    <t>C21</t>
  </si>
  <si>
    <t>Kamil Khandar</t>
  </si>
  <si>
    <t>9 5 4 10 8 1 6 9 2 5 1</t>
  </si>
  <si>
    <t>jaskaran.barnes@yahoo.com</t>
  </si>
  <si>
    <t>68 Northwood Drive, Sittingbourne</t>
  </si>
  <si>
    <t>ME10 4QS</t>
  </si>
  <si>
    <t>IO21</t>
  </si>
  <si>
    <t>Fresh salad</t>
  </si>
  <si>
    <t>Salad</t>
  </si>
  <si>
    <t>R21</t>
  </si>
  <si>
    <t>C22</t>
  </si>
  <si>
    <t>Maryam Ekhtiari</t>
  </si>
  <si>
    <t>1 5 8 1 7 1 1 6 9 6 2</t>
  </si>
  <si>
    <t>sawu4tnvvbmpunb@aol.com</t>
  </si>
  <si>
    <t>4 Police Quarters, West Lane, Isle Of Grain</t>
  </si>
  <si>
    <t>ME3 0BG</t>
  </si>
  <si>
    <t>IO22</t>
  </si>
  <si>
    <t>Greek salad</t>
  </si>
  <si>
    <t>R22</t>
  </si>
  <si>
    <t>C23</t>
  </si>
  <si>
    <t>Sammy Arsen</t>
  </si>
  <si>
    <t>7 8 5 10 7 3 7 4 1 8 9</t>
  </si>
  <si>
    <t>forgan.davis@gmail.com</t>
  </si>
  <si>
    <t>7 Marr Close, Minster On Sea</t>
  </si>
  <si>
    <t>ME12 2RQ</t>
  </si>
  <si>
    <t>IO23</t>
  </si>
  <si>
    <t>Coke</t>
  </si>
  <si>
    <t>Drinks</t>
  </si>
  <si>
    <t>R23</t>
  </si>
  <si>
    <t>C24</t>
  </si>
  <si>
    <t>Hafsah Javed</t>
  </si>
  <si>
    <t>8 8 3 10 4 7 4 1 3 8 5</t>
  </si>
  <si>
    <t>1yrg3xt21e@googlemail.com</t>
  </si>
  <si>
    <t>17 Abbey Road, Faversham</t>
  </si>
  <si>
    <t>ME13 7BL</t>
  </si>
  <si>
    <t>IO24</t>
  </si>
  <si>
    <t>7Up</t>
  </si>
  <si>
    <t>R24</t>
  </si>
  <si>
    <t>C25</t>
  </si>
  <si>
    <t>Duncan Fern</t>
  </si>
  <si>
    <t>3 1 8 6 3 9 8 9 1 10 8</t>
  </si>
  <si>
    <t>caelan.britt@googlemail.com</t>
  </si>
  <si>
    <t>Wishes, Breach Lane, Lower Halstow</t>
  </si>
  <si>
    <t>ME9 7DW</t>
  </si>
  <si>
    <t>IO25</t>
  </si>
  <si>
    <t>Tango</t>
  </si>
  <si>
    <t>R25</t>
  </si>
  <si>
    <t>C26</t>
  </si>
  <si>
    <t>Marco Aicolino</t>
  </si>
  <si>
    <t>9 8 6 10 10 9 3 6 5 9 4</t>
  </si>
  <si>
    <t>rbx1p2qlnyn5@comcast.net</t>
  </si>
  <si>
    <t>7 Pumpmakers Way, Chatham</t>
  </si>
  <si>
    <t>ME4 4FW</t>
  </si>
  <si>
    <t>IO26</t>
  </si>
  <si>
    <t>Rio</t>
  </si>
  <si>
    <t>R26</t>
  </si>
  <si>
    <t>C27</t>
  </si>
  <si>
    <t>Lilly Smith</t>
  </si>
  <si>
    <t>1 1 3 8 1 3 9 5 4 10 4</t>
  </si>
  <si>
    <t>addison.jarvis@gmail.com</t>
  </si>
  <si>
    <t>152 Upper Fant Road, Maidstone</t>
  </si>
  <si>
    <t>ME16 8DJ</t>
  </si>
  <si>
    <t>IO27</t>
  </si>
  <si>
    <t>Diet Coke</t>
  </si>
  <si>
    <t>R27</t>
  </si>
  <si>
    <t>C28</t>
  </si>
  <si>
    <t>Aaron Town</t>
  </si>
  <si>
    <t>3 6 10 1 9 10 2 5 8 1 2</t>
  </si>
  <si>
    <t>fktelaoxso3w@comcast.net</t>
  </si>
  <si>
    <t>3 Caversham Close, Rainham</t>
  </si>
  <si>
    <t>ME8 7BL</t>
  </si>
  <si>
    <t>IO28</t>
  </si>
  <si>
    <t>Belgium Chocolate</t>
  </si>
  <si>
    <t>Ice Cream</t>
  </si>
  <si>
    <t>R28</t>
  </si>
  <si>
    <t>C29</t>
  </si>
  <si>
    <t>James Char</t>
  </si>
  <si>
    <t>1 6 3 3 6 7 10 3 1 8 6</t>
  </si>
  <si>
    <t>berkay.albert@googlemail.com</t>
  </si>
  <si>
    <t>1 Courtsole Farm, Pond Hill, Cliffe</t>
  </si>
  <si>
    <t>ME3 7QS</t>
  </si>
  <si>
    <t>IO29</t>
  </si>
  <si>
    <t>Strawberry Cheesecake</t>
  </si>
  <si>
    <t>R29</t>
  </si>
  <si>
    <t>C30</t>
  </si>
  <si>
    <t>Megan Andrews</t>
  </si>
  <si>
    <t>1 2 1 4 1 7 4 9 1 7 9</t>
  </si>
  <si>
    <t>oav140op12o@comcast.net</t>
  </si>
  <si>
    <t>1 Riverview Close, 78 Maidstone Road, Chatham</t>
  </si>
  <si>
    <t>ME4 6DG</t>
  </si>
  <si>
    <t>IO30</t>
  </si>
  <si>
    <t>Vanilla</t>
  </si>
  <si>
    <t>R30</t>
  </si>
  <si>
    <t>C31</t>
  </si>
  <si>
    <t>Lilly White</t>
  </si>
  <si>
    <t>1 6 1 4 1 1 5 5 8 4 3</t>
  </si>
  <si>
    <t>damon.macias@msn.com</t>
  </si>
  <si>
    <t>1 Grove Cottages, West Street, Hunton</t>
  </si>
  <si>
    <t>ME15 0RU</t>
  </si>
  <si>
    <t>IO31</t>
  </si>
  <si>
    <t>Margherita</t>
  </si>
  <si>
    <t>Pizza</t>
  </si>
  <si>
    <t>R31</t>
  </si>
  <si>
    <t>C32</t>
  </si>
  <si>
    <t>Sam Johnston</t>
  </si>
  <si>
    <t>8 6 4 9 5 8 8 3 3 3 5</t>
  </si>
  <si>
    <t>l1r0rns31d70d8ywqhf@msn.com</t>
  </si>
  <si>
    <t>Thatched House, Heath Road, West Farleigh</t>
  </si>
  <si>
    <t>ME15 0NJ</t>
  </si>
  <si>
    <t>IO32</t>
  </si>
  <si>
    <t xml:space="preserve">BBQ chicken </t>
  </si>
  <si>
    <t>R32</t>
  </si>
  <si>
    <t>C33</t>
  </si>
  <si>
    <t>Jack grealish</t>
  </si>
  <si>
    <t>1 3 8 1 7 2 10 7 10 4 2</t>
  </si>
  <si>
    <t>ikechukwu.brooks@googlemail.com</t>
  </si>
  <si>
    <t>IO33</t>
  </si>
  <si>
    <t>Hawainn</t>
  </si>
  <si>
    <t>R33</t>
  </si>
  <si>
    <t>C34</t>
  </si>
  <si>
    <t>Andre Onana</t>
  </si>
  <si>
    <t>5 2 5 5 8 4 1 1 8 1 4</t>
  </si>
  <si>
    <t>s3jsp35kmwi1vjso@aol.com</t>
  </si>
  <si>
    <t>24 Chapel Street, Minster On Sea</t>
  </si>
  <si>
    <t>ME12 3QF</t>
  </si>
  <si>
    <t>IO34</t>
  </si>
  <si>
    <t>Chicken Supreme</t>
  </si>
  <si>
    <t>R34</t>
  </si>
  <si>
    <t>C35</t>
  </si>
  <si>
    <t>Van Dijk</t>
  </si>
  <si>
    <t>2 10 9 2 1 1 8 1 1 1 8</t>
  </si>
  <si>
    <t>peirce.rojas@ymail.com</t>
  </si>
  <si>
    <t>9 Ringwood Road, Maidstone</t>
  </si>
  <si>
    <t>ME15 7EG</t>
  </si>
  <si>
    <t>IO35</t>
  </si>
  <si>
    <t>Spicy</t>
  </si>
  <si>
    <t>R35</t>
  </si>
  <si>
    <t>C36</t>
  </si>
  <si>
    <t>Lioenl Messi</t>
  </si>
  <si>
    <t>9 7 7 5 5 5 1 4 5 5 4</t>
  </si>
  <si>
    <t>ubcap0y3s6xbflthr@aol.com</t>
  </si>
  <si>
    <t>11 Alfriston Grove, Kings Hill</t>
  </si>
  <si>
    <t>ME19 4AS</t>
  </si>
  <si>
    <t>IO36</t>
  </si>
  <si>
    <t>Larkfield specia pizza</t>
  </si>
  <si>
    <t>R36</t>
  </si>
  <si>
    <t>C37</t>
  </si>
  <si>
    <t xml:space="preserve">Cristiano </t>
  </si>
  <si>
    <t>7 1 9 6 1 2 9 7 9 9 1</t>
  </si>
  <si>
    <t>mati.blackwell@yahoo.com</t>
  </si>
  <si>
    <t>11 Cross Keys, Bearsted</t>
  </si>
  <si>
    <t>ME14 4HR</t>
  </si>
  <si>
    <t>IO37</t>
  </si>
  <si>
    <t>Chicken Tikka</t>
  </si>
  <si>
    <t>R37</t>
  </si>
  <si>
    <t>C38</t>
  </si>
  <si>
    <t>Amad Dialo</t>
  </si>
  <si>
    <t>1 3 9 5 1 6 1 9 7 8 10</t>
  </si>
  <si>
    <t>hsvkrh1sj1j805m@rediffmail.com</t>
  </si>
  <si>
    <t>50 Broadwood Road, Chattenden</t>
  </si>
  <si>
    <t>ME3 8LX</t>
  </si>
  <si>
    <t>IO38</t>
  </si>
  <si>
    <t>American Hot</t>
  </si>
  <si>
    <t>R38</t>
  </si>
  <si>
    <t>C39</t>
  </si>
  <si>
    <t>Varane Rafa</t>
  </si>
  <si>
    <t>9 7 9 4 2 3 1 9 7 7 3</t>
  </si>
  <si>
    <t>maias.harper@googlemail.com</t>
  </si>
  <si>
    <t>67 Eastcourt Lane, Gillingham</t>
  </si>
  <si>
    <t>ME8 6HG</t>
  </si>
  <si>
    <t>IO39</t>
  </si>
  <si>
    <t xml:space="preserve">Vegetirian </t>
  </si>
  <si>
    <t>R39</t>
  </si>
  <si>
    <t>C40</t>
  </si>
  <si>
    <t>Peter Shmit</t>
  </si>
  <si>
    <t>5 5 1 3 4 5 1 10 1 4 2</t>
  </si>
  <si>
    <t>199tchpzjvjz10rr2ro@gmail.com</t>
  </si>
  <si>
    <t>7 Murdoch Chase, Coxheath</t>
  </si>
  <si>
    <t>ME1 2HN</t>
  </si>
  <si>
    <t>IO40</t>
  </si>
  <si>
    <t>Vegetirian Hot</t>
  </si>
  <si>
    <t>R40</t>
  </si>
  <si>
    <t>Order ID</t>
  </si>
  <si>
    <t>Customer Name</t>
  </si>
  <si>
    <t>Order Date</t>
  </si>
  <si>
    <t>Transaction Type</t>
  </si>
  <si>
    <t>Total Value</t>
  </si>
  <si>
    <t>Customer ID</t>
  </si>
  <si>
    <t>Transaction type</t>
  </si>
  <si>
    <t>Item name</t>
  </si>
  <si>
    <t>Row Labels</t>
  </si>
  <si>
    <t>Grand Total</t>
  </si>
  <si>
    <t>Item Name</t>
  </si>
  <si>
    <t>Sum of Total Value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</si>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</sst>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8" formatCode="&quot;£&quot;#,##0.00;[Red]\-&quot;£&quot;#,##0.00"/>
    <numFmt numFmtId="164" formatCode="&quot;£&quot;#,##0.00"/>
  </numFmts>
  <fonts count="7" x14ac:knownFonts="1">
    <font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0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/>
    </xf>
    <xf numFmtId="8" fontId="0" fillId="0" borderId="0" xfId="0" applyNumberFormat="1"/>
    <xf numFmtId="14" fontId="0" fillId="0" borderId="0" xfId="0" applyNumberFormat="1"/>
    <xf numFmtId="0" fontId="2" fillId="0" borderId="2" xfId="1" applyFont="1" applyBorder="1" applyAlignment="1">
      <alignment wrapText="1"/>
    </xf>
    <xf numFmtId="0" fontId="2" fillId="0" borderId="3" xfId="1" applyFont="1" applyBorder="1" applyAlignment="1">
      <alignment wrapText="1"/>
    </xf>
    <xf numFmtId="0" fontId="2" fillId="0" borderId="4" xfId="1" applyFont="1" applyBorder="1" applyAlignment="1">
      <alignment wrapText="1"/>
    </xf>
    <xf numFmtId="0" fontId="4" fillId="0" borderId="0" xfId="0" applyFont="1"/>
    <xf numFmtId="7" fontId="0" fillId="0" borderId="0" xfId="0" applyNumberFormat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0" xfId="0" applyFont="1"/>
    <xf numFmtId="164" fontId="0" fillId="0" borderId="0" xfId="0" applyNumberFormat="1"/>
    <xf numFmtId="0" fontId="6" fillId="0" borderId="0" xfId="0" applyFont="1"/>
  </cellXfs>
  <cellStyles count="2">
    <cellStyle name="Normal" xfId="0" builtinId="0"/>
    <cellStyle name="Normal_Sheet1" xfId="1" xr:uid="{089C350A-D15A-4108-B90A-74793987B168}"/>
  </cellStyles>
  <dxfs count="4">
    <dxf>
      <numFmt numFmtId="164" formatCode="&quot;£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[Excel_2_version.xlsm]Pivot table!Total Sales by Product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showing item name and its total value of sale</a:t>
            </a:r>
          </a:p>
          <a:p>
            <a:pPr>
              <a:defRPr/>
            </a:pPr>
            <a:r>
              <a:rPr lang="en-US"/>
              <a:t> for a given time frame</a:t>
            </a:r>
          </a:p>
        </c:rich>
      </c:tx>
      <c:layout>
        <c:manualLayout>
          <c:xMode val="edge"/>
          <c:yMode val="edge"/>
          <c:x val="0.22066203131352521"/>
          <c:y val="5.95949272337301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'Pivot table'!$A$4:$A$44</c:f>
              <c:strCache>
                <c:ptCount val="40"/>
                <c:pt idx="0">
                  <c:v>7Up</c:v>
                </c:pt>
                <c:pt idx="1">
                  <c:v>American Hot</c:v>
                </c:pt>
                <c:pt idx="2">
                  <c:v>BBQ chicken </c:v>
                </c:pt>
                <c:pt idx="3">
                  <c:v>Beef Burger</c:v>
                </c:pt>
                <c:pt idx="4">
                  <c:v>Belgium Chocolate</c:v>
                </c:pt>
                <c:pt idx="5">
                  <c:v>Chickeb Burger</c:v>
                </c:pt>
                <c:pt idx="6">
                  <c:v>Chicken Doner</c:v>
                </c:pt>
                <c:pt idx="7">
                  <c:v>Chicken doner wrap</c:v>
                </c:pt>
                <c:pt idx="8">
                  <c:v>Chicken Nuggets</c:v>
                </c:pt>
                <c:pt idx="9">
                  <c:v>Chicken popcorn</c:v>
                </c:pt>
                <c:pt idx="10">
                  <c:v>Chicken Shish</c:v>
                </c:pt>
                <c:pt idx="11">
                  <c:v>Chicken shish wrap</c:v>
                </c:pt>
                <c:pt idx="12">
                  <c:v>Chicken strips</c:v>
                </c:pt>
                <c:pt idx="13">
                  <c:v>Chicken Supreme</c:v>
                </c:pt>
                <c:pt idx="14">
                  <c:v>Chicken Tikka</c:v>
                </c:pt>
                <c:pt idx="15">
                  <c:v>Coke</c:v>
                </c:pt>
                <c:pt idx="16">
                  <c:v>Diet Coke</c:v>
                </c:pt>
                <c:pt idx="17">
                  <c:v>Fresh salad</c:v>
                </c:pt>
                <c:pt idx="18">
                  <c:v>Greek salad</c:v>
                </c:pt>
                <c:pt idx="19">
                  <c:v>Hawainn</c:v>
                </c:pt>
                <c:pt idx="20">
                  <c:v>Kofte</c:v>
                </c:pt>
                <c:pt idx="21">
                  <c:v>Lamb Doner</c:v>
                </c:pt>
                <c:pt idx="22">
                  <c:v>Lamb doner wrap</c:v>
                </c:pt>
                <c:pt idx="23">
                  <c:v>Lamb Shish</c:v>
                </c:pt>
                <c:pt idx="24">
                  <c:v>Lamb shish wrap</c:v>
                </c:pt>
                <c:pt idx="25">
                  <c:v>Larkfield specia pizza</c:v>
                </c:pt>
                <c:pt idx="26">
                  <c:v>Larkfield Special</c:v>
                </c:pt>
                <c:pt idx="27">
                  <c:v>Margherita</c:v>
                </c:pt>
                <c:pt idx="28">
                  <c:v>Rio</c:v>
                </c:pt>
                <c:pt idx="29">
                  <c:v>Shish burger</c:v>
                </c:pt>
                <c:pt idx="30">
                  <c:v>Special burger</c:v>
                </c:pt>
                <c:pt idx="31">
                  <c:v>Spicy</c:v>
                </c:pt>
                <c:pt idx="32">
                  <c:v>Spicy BBQ wings</c:v>
                </c:pt>
                <c:pt idx="33">
                  <c:v>Spicy wings</c:v>
                </c:pt>
                <c:pt idx="34">
                  <c:v>Strawberry Cheesecake</c:v>
                </c:pt>
                <c:pt idx="35">
                  <c:v>Tango</c:v>
                </c:pt>
                <c:pt idx="36">
                  <c:v>Vanilla</c:v>
                </c:pt>
                <c:pt idx="37">
                  <c:v>Vegetirian </c:v>
                </c:pt>
                <c:pt idx="38">
                  <c:v>Vegetirian Hot</c:v>
                </c:pt>
                <c:pt idx="39">
                  <c:v>Vegi Kebab</c:v>
                </c:pt>
              </c:strCache>
            </c:strRef>
          </c:cat>
          <c:val>
            <c:numRef>
              <c:f>'Pivot table'!$B$4:$B$44</c:f>
              <c:numCache>
                <c:formatCode>"£"#,##0.00_);\("£"#,##0.00\)</c:formatCode>
                <c:ptCount val="40"/>
                <c:pt idx="0">
                  <c:v>2.5</c:v>
                </c:pt>
                <c:pt idx="1">
                  <c:v>75</c:v>
                </c:pt>
                <c:pt idx="2">
                  <c:v>20</c:v>
                </c:pt>
                <c:pt idx="3">
                  <c:v>6</c:v>
                </c:pt>
                <c:pt idx="4">
                  <c:v>35</c:v>
                </c:pt>
                <c:pt idx="5">
                  <c:v>15</c:v>
                </c:pt>
                <c:pt idx="6">
                  <c:v>7</c:v>
                </c:pt>
                <c:pt idx="7">
                  <c:v>32</c:v>
                </c:pt>
                <c:pt idx="8">
                  <c:v>10</c:v>
                </c:pt>
                <c:pt idx="9">
                  <c:v>36</c:v>
                </c:pt>
                <c:pt idx="10">
                  <c:v>8</c:v>
                </c:pt>
                <c:pt idx="11">
                  <c:v>36</c:v>
                </c:pt>
                <c:pt idx="12">
                  <c:v>12</c:v>
                </c:pt>
                <c:pt idx="13">
                  <c:v>48</c:v>
                </c:pt>
                <c:pt idx="14">
                  <c:v>15</c:v>
                </c:pt>
                <c:pt idx="15">
                  <c:v>1.25</c:v>
                </c:pt>
                <c:pt idx="16">
                  <c:v>7.5</c:v>
                </c:pt>
                <c:pt idx="17">
                  <c:v>16</c:v>
                </c:pt>
                <c:pt idx="18">
                  <c:v>10</c:v>
                </c:pt>
                <c:pt idx="19">
                  <c:v>24</c:v>
                </c:pt>
                <c:pt idx="20">
                  <c:v>24</c:v>
                </c:pt>
                <c:pt idx="21">
                  <c:v>7</c:v>
                </c:pt>
                <c:pt idx="22">
                  <c:v>8</c:v>
                </c:pt>
                <c:pt idx="23">
                  <c:v>24</c:v>
                </c:pt>
                <c:pt idx="24">
                  <c:v>54</c:v>
                </c:pt>
                <c:pt idx="25">
                  <c:v>90</c:v>
                </c:pt>
                <c:pt idx="26">
                  <c:v>25</c:v>
                </c:pt>
                <c:pt idx="27">
                  <c:v>32</c:v>
                </c:pt>
                <c:pt idx="28">
                  <c:v>1.25</c:v>
                </c:pt>
                <c:pt idx="29">
                  <c:v>16</c:v>
                </c:pt>
                <c:pt idx="30">
                  <c:v>30</c:v>
                </c:pt>
                <c:pt idx="31">
                  <c:v>12</c:v>
                </c:pt>
                <c:pt idx="32">
                  <c:v>15</c:v>
                </c:pt>
                <c:pt idx="33">
                  <c:v>15</c:v>
                </c:pt>
                <c:pt idx="34">
                  <c:v>28</c:v>
                </c:pt>
                <c:pt idx="35">
                  <c:v>1.25</c:v>
                </c:pt>
                <c:pt idx="36">
                  <c:v>28</c:v>
                </c:pt>
                <c:pt idx="37">
                  <c:v>52</c:v>
                </c:pt>
                <c:pt idx="38">
                  <c:v>39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E-4BBF-AF33-9EB5D6F53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71259887"/>
        <c:axId val="1871263727"/>
      </c:barChart>
      <c:catAx>
        <c:axId val="18712598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Name of item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263727"/>
        <c:crosses val="autoZero"/>
        <c:auto val="1"/>
        <c:lblAlgn val="ctr"/>
        <c:lblOffset val="100"/>
        <c:noMultiLvlLbl val="0"/>
      </c:catAx>
      <c:valAx>
        <c:axId val="187126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value sold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_);\(&quot;£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25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0</xdr:row>
          <xdr:rowOff>160020</xdr:rowOff>
        </xdr:from>
        <xdr:to>
          <xdr:col>8</xdr:col>
          <xdr:colOff>1043940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order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594360</xdr:colOff>
      <xdr:row>5</xdr:row>
      <xdr:rowOff>15240</xdr:rowOff>
    </xdr:from>
    <xdr:to>
      <xdr:col>9</xdr:col>
      <xdr:colOff>601980</xdr:colOff>
      <xdr:row>12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E845EE-68C9-495C-A957-79E1A2FC2C56}"/>
            </a:ext>
          </a:extLst>
        </xdr:cNvPr>
        <xdr:cNvSpPr/>
      </xdr:nvSpPr>
      <xdr:spPr>
        <a:xfrm>
          <a:off x="5935980" y="929640"/>
          <a:ext cx="2468880" cy="130302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 u="sng" kern="1200">
              <a:solidFill>
                <a:schemeClr val="tx1"/>
              </a:solidFill>
            </a:rPr>
            <a:t>Legend</a:t>
          </a:r>
        </a:p>
        <a:p>
          <a:pPr algn="l"/>
          <a:endParaRPr lang="en-GB" sz="1100" kern="1200"/>
        </a:p>
        <a:p>
          <a:pPr algn="ctr"/>
          <a:r>
            <a:rPr lang="en-GB" sz="1100" kern="1200">
              <a:solidFill>
                <a:srgbClr val="00B050"/>
              </a:solidFill>
            </a:rPr>
            <a:t>Cash payments</a:t>
          </a:r>
          <a:r>
            <a:rPr lang="en-GB" sz="1100" kern="1200" baseline="0">
              <a:solidFill>
                <a:srgbClr val="00B050"/>
              </a:solidFill>
            </a:rPr>
            <a:t> = Green </a:t>
          </a:r>
        </a:p>
        <a:p>
          <a:pPr algn="ctr"/>
          <a:endParaRPr lang="en-GB" sz="1100" kern="1200" baseline="0"/>
        </a:p>
        <a:p>
          <a:pPr algn="ctr"/>
          <a:r>
            <a:rPr lang="en-GB" sz="1100" kern="1200" baseline="0">
              <a:solidFill>
                <a:srgbClr val="FF0000"/>
              </a:solidFill>
            </a:rPr>
            <a:t>Card payments = Red</a:t>
          </a:r>
        </a:p>
        <a:p>
          <a:pPr algn="ctr"/>
          <a:endParaRPr lang="en-GB" sz="1100" kern="1200">
            <a:solidFill>
              <a:srgbClr val="FF0000"/>
            </a:solidFill>
          </a:endParaRPr>
        </a:p>
        <a:p>
          <a:pPr algn="ctr"/>
          <a:r>
            <a:rPr lang="en-GB" sz="1100" i="1" kern="1200">
              <a:solidFill>
                <a:schemeClr val="tx1"/>
              </a:solidFill>
            </a:rPr>
            <a:t>Reference:</a:t>
          </a:r>
          <a:r>
            <a:rPr lang="en-GB" sz="1100" i="1" kern="1200" baseline="0">
              <a:solidFill>
                <a:schemeClr val="tx1"/>
              </a:solidFill>
            </a:rPr>
            <a:t> Excel RGB Color Codes Chart</a:t>
          </a:r>
          <a:endParaRPr lang="en-GB" sz="1100" i="1" kern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7620</xdr:rowOff>
    </xdr:from>
    <xdr:to>
      <xdr:col>8</xdr:col>
      <xdr:colOff>30480</xdr:colOff>
      <xdr:row>8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EEB4207-22BD-C5BC-EC75-5E141EE8343D}"/>
            </a:ext>
          </a:extLst>
        </xdr:cNvPr>
        <xdr:cNvSpPr/>
      </xdr:nvSpPr>
      <xdr:spPr>
        <a:xfrm>
          <a:off x="3741420" y="556260"/>
          <a:ext cx="2468880" cy="105156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 u="sng" kern="1200">
              <a:solidFill>
                <a:schemeClr val="tx1"/>
              </a:solidFill>
            </a:rPr>
            <a:t>Legend</a:t>
          </a:r>
        </a:p>
        <a:p>
          <a:pPr algn="l"/>
          <a:endParaRPr lang="en-GB" sz="1100" kern="1200"/>
        </a:p>
        <a:p>
          <a:pPr algn="ctr"/>
          <a:r>
            <a:rPr lang="en-GB" sz="1100" kern="1200">
              <a:solidFill>
                <a:srgbClr val="00B050"/>
              </a:solidFill>
            </a:rPr>
            <a:t>Top</a:t>
          </a:r>
          <a:r>
            <a:rPr lang="en-GB" sz="1100" kern="1200" baseline="0">
              <a:solidFill>
                <a:srgbClr val="00B050"/>
              </a:solidFill>
            </a:rPr>
            <a:t> 10% sum of total value: Green </a:t>
          </a:r>
        </a:p>
        <a:p>
          <a:pPr algn="ctr"/>
          <a:endParaRPr lang="en-GB" sz="1100" kern="1200" baseline="0"/>
        </a:p>
        <a:p>
          <a:pPr algn="ctr"/>
          <a:r>
            <a:rPr lang="en-GB" sz="1100" kern="1200" baseline="0">
              <a:solidFill>
                <a:srgbClr val="FF0000"/>
              </a:solidFill>
            </a:rPr>
            <a:t>Bottom 10% sum of total value: Red</a:t>
          </a:r>
          <a:endParaRPr lang="en-GB" sz="11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182880</xdr:colOff>
      <xdr:row>3</xdr:row>
      <xdr:rowOff>7620</xdr:rowOff>
    </xdr:from>
    <xdr:to>
      <xdr:col>12</xdr:col>
      <xdr:colOff>213360</xdr:colOff>
      <xdr:row>8</xdr:row>
      <xdr:rowOff>144780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288E09A-929A-40DC-AE09-4E877904F791}"/>
            </a:ext>
          </a:extLst>
        </xdr:cNvPr>
        <xdr:cNvSpPr/>
      </xdr:nvSpPr>
      <xdr:spPr>
        <a:xfrm>
          <a:off x="6362700" y="556260"/>
          <a:ext cx="2468880" cy="105156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 u="sng" kern="1200">
              <a:solidFill>
                <a:schemeClr val="tx1"/>
              </a:solidFill>
            </a:rPr>
            <a:t>FILTERS</a:t>
          </a:r>
        </a:p>
        <a:p>
          <a:pPr algn="ctr"/>
          <a:endParaRPr lang="en-GB" sz="1100" b="1" u="sng" kern="1200">
            <a:solidFill>
              <a:schemeClr val="tx1"/>
            </a:solidFill>
          </a:endParaRPr>
        </a:p>
        <a:p>
          <a:pPr algn="ctr"/>
          <a:r>
            <a:rPr lang="en-GB" sz="1100" kern="1200">
              <a:solidFill>
                <a:schemeClr val="tx1"/>
              </a:solidFill>
            </a:rPr>
            <a:t>Filtering</a:t>
          </a:r>
          <a:r>
            <a:rPr lang="en-GB" sz="1100" kern="1200" baseline="0">
              <a:solidFill>
                <a:schemeClr val="tx1"/>
              </a:solidFill>
            </a:rPr>
            <a:t> the results can be obtained by changing the day of when orders were made</a:t>
          </a:r>
          <a:endParaRPr lang="en-GB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327660</xdr:colOff>
      <xdr:row>14</xdr:row>
      <xdr:rowOff>45720</xdr:rowOff>
    </xdr:from>
    <xdr:to>
      <xdr:col>15</xdr:col>
      <xdr:colOff>129540</xdr:colOff>
      <xdr:row>37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1DBBAE-8989-FF69-588A-6FE997A4A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2</xdr:row>
          <xdr:rowOff>30480</xdr:rowOff>
        </xdr:from>
        <xdr:to>
          <xdr:col>9</xdr:col>
          <xdr:colOff>373380</xdr:colOff>
          <xdr:row>4</xdr:row>
          <xdr:rowOff>167640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Insert customer's name to obtain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2</xdr:row>
          <xdr:rowOff>175260</xdr:rowOff>
        </xdr:from>
        <xdr:to>
          <xdr:col>3</xdr:col>
          <xdr:colOff>541020</xdr:colOff>
          <xdr:row>4</xdr:row>
          <xdr:rowOff>167640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Place new 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152400</xdr:colOff>
      <xdr:row>0</xdr:row>
      <xdr:rowOff>121920</xdr:rowOff>
    </xdr:from>
    <xdr:to>
      <xdr:col>16</xdr:col>
      <xdr:colOff>487680</xdr:colOff>
      <xdr:row>25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7C225B2-399A-6420-D332-3BEF49C23246}"/>
            </a:ext>
          </a:extLst>
        </xdr:cNvPr>
        <xdr:cNvSpPr/>
      </xdr:nvSpPr>
      <xdr:spPr>
        <a:xfrm>
          <a:off x="7978140" y="121920"/>
          <a:ext cx="3992880" cy="456438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 u="sng" kern="1200">
              <a:solidFill>
                <a:srgbClr val="FF0000"/>
              </a:solidFill>
            </a:rPr>
            <a:t>INSTRUCTIONS</a:t>
          </a:r>
        </a:p>
        <a:p>
          <a:pPr algn="ctr"/>
          <a:endParaRPr lang="en-GB" sz="1100" kern="1200"/>
        </a:p>
        <a:p>
          <a:pPr algn="ctr"/>
          <a:r>
            <a:rPr lang="en-GB" sz="1100" b="1" i="0" u="sng" kern="1200"/>
            <a:t>CUSTOMER</a:t>
          </a:r>
          <a:r>
            <a:rPr lang="en-GB" sz="1100" b="1" i="0" u="sng" kern="1200" baseline="0"/>
            <a:t> ID: </a:t>
          </a:r>
        </a:p>
        <a:p>
          <a:pPr algn="ctr"/>
          <a:r>
            <a:rPr lang="en-GB" sz="1100" i="0" kern="1200" baseline="0"/>
            <a:t>Choose from list which customer is placing the order</a:t>
          </a:r>
        </a:p>
        <a:p>
          <a:pPr algn="ctr"/>
          <a:endParaRPr lang="en-GB" sz="1100" i="0" kern="1200" baseline="0"/>
        </a:p>
        <a:p>
          <a:pPr algn="ctr"/>
          <a:r>
            <a:rPr lang="en-GB" sz="1100" b="1" i="0" u="sng" kern="1200" baseline="0"/>
            <a:t>OrderID: </a:t>
          </a:r>
        </a:p>
        <a:p>
          <a:pPr algn="ctr"/>
          <a:r>
            <a:rPr lang="en-GB" sz="1100" i="0" kern="1200" baseline="0"/>
            <a:t>Assign an order ID to this customer. Ensuring it starts with R followed by digits. (I.e, R01) </a:t>
          </a:r>
        </a:p>
        <a:p>
          <a:pPr algn="l"/>
          <a:endParaRPr lang="en-GB" sz="1100" i="0" kern="1200" baseline="0"/>
        </a:p>
        <a:p>
          <a:pPr algn="ctr"/>
          <a:r>
            <a:rPr lang="en-GB" sz="1100" b="1" i="0" u="sng" kern="1200" baseline="0"/>
            <a:t>Item name: </a:t>
          </a:r>
        </a:p>
        <a:p>
          <a:pPr algn="ctr"/>
          <a:r>
            <a:rPr lang="en-GB" sz="1100" i="0" kern="1200" baseline="0"/>
            <a:t>Choose which item the customer wants from the list</a:t>
          </a:r>
        </a:p>
        <a:p>
          <a:pPr algn="ctr"/>
          <a:endParaRPr lang="en-GB" sz="1100" i="0" kern="1200" baseline="0"/>
        </a:p>
        <a:p>
          <a:pPr algn="ctr"/>
          <a:r>
            <a:rPr lang="en-GB" sz="1100" b="1" i="0" u="sng" kern="1200" baseline="0"/>
            <a:t>Price:</a:t>
          </a:r>
        </a:p>
        <a:p>
          <a:pPr algn="ctr"/>
          <a:r>
            <a:rPr lang="en-GB" sz="1100" b="0" i="0" u="none" kern="1200" baseline="0"/>
            <a:t>Price will automaitcally update upon choosing the item name</a:t>
          </a:r>
        </a:p>
        <a:p>
          <a:pPr algn="ctr"/>
          <a:endParaRPr lang="en-GB" sz="1100" i="0" kern="1200" baseline="0"/>
        </a:p>
        <a:p>
          <a:pPr algn="ctr"/>
          <a:r>
            <a:rPr lang="en-GB" sz="1100" b="1" i="0" u="sng" kern="1200" baseline="0"/>
            <a:t>Quantity:</a:t>
          </a:r>
        </a:p>
        <a:p>
          <a:pPr algn="ctr"/>
          <a:r>
            <a:rPr lang="en-GB" sz="1100" i="0" kern="1200" baseline="0"/>
            <a:t>Choose how much of the item is being ordered</a:t>
          </a:r>
        </a:p>
        <a:p>
          <a:pPr algn="ctr"/>
          <a:endParaRPr lang="en-GB" sz="1100" i="0" kern="1200" baseline="0"/>
        </a:p>
        <a:p>
          <a:pPr algn="ctr"/>
          <a:r>
            <a:rPr lang="en-GB" sz="1100" b="1" i="0" u="sng" kern="1200" baseline="0"/>
            <a:t>Transaction type: </a:t>
          </a:r>
        </a:p>
        <a:p>
          <a:pPr algn="ctr"/>
          <a:r>
            <a:rPr lang="en-GB" sz="1100" i="0" kern="1200" baseline="0"/>
            <a:t>Choose whether the payment is cash or card</a:t>
          </a:r>
        </a:p>
        <a:p>
          <a:pPr algn="ctr"/>
          <a:endParaRPr lang="en-GB" sz="1100" i="0" kern="1200" baseline="0"/>
        </a:p>
        <a:p>
          <a:pPr algn="ctr"/>
          <a:r>
            <a:rPr lang="en-GB" sz="1100" b="1" i="0" u="sng" kern="1200" baseline="0"/>
            <a:t>Order Date:</a:t>
          </a:r>
        </a:p>
        <a:p>
          <a:pPr algn="ctr"/>
          <a:r>
            <a:rPr lang="en-GB" sz="1100" i="0" kern="1200" baseline="0"/>
            <a:t>Choose the date of when the order is being placed </a:t>
          </a:r>
        </a:p>
        <a:p>
          <a:pPr algn="ctr"/>
          <a:endParaRPr lang="en-GB" sz="1100" b="1" i="0" u="sng" kern="1200" baseline="0"/>
        </a:p>
        <a:p>
          <a:pPr algn="ctr"/>
          <a:r>
            <a:rPr lang="en-GB" sz="1100" b="1" i="0" u="sng" kern="1200" baseline="0"/>
            <a:t>Driver name:</a:t>
          </a:r>
        </a:p>
        <a:p>
          <a:pPr algn="ctr"/>
          <a:r>
            <a:rPr lang="en-GB" sz="1100" b="0" i="0" u="none" kern="1200" baseline="0"/>
            <a:t>Choose which driver is delivering the order.</a:t>
          </a:r>
        </a:p>
        <a:p>
          <a:pPr algn="l"/>
          <a:endParaRPr lang="en-GB" sz="1100" i="0" kern="1200" baseline="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him Haidari" refreshedDate="45682.075782870372" createdVersion="8" refreshedVersion="8" minRefreshableVersion="3" recordCount="40" xr:uid="{69CECBCA-6113-41C0-922F-D872D61DCEA6}">
  <cacheSource type="worksheet">
    <worksheetSource ref="A1:F41" sheet="Order Summary"/>
  </cacheSource>
  <cacheFields count="6">
    <cacheField name="Order ID" numFmtId="0">
      <sharedItems/>
    </cacheField>
    <cacheField name="Customer Name" numFmtId="0">
      <sharedItems count="40">
        <s v="Izzy Stone"/>
        <s v="John Smith"/>
        <s v="Peter Ashley"/>
        <s v="Kevin Martin"/>
        <s v="Jack White"/>
        <s v="Sarah Khan"/>
        <s v="Emma Johnston"/>
        <s v="Abbie Tegan"/>
        <s v="Sue Smith"/>
        <s v="Bailey Jackson"/>
        <s v="Hewad Sayed"/>
        <s v="Muzamil Rasully"/>
        <s v="Faisal Alam"/>
        <s v="Majeed Haroon"/>
        <s v="Rami Hallufi"/>
        <s v="Waj Rasully"/>
        <s v="Matin Khan"/>
        <s v="Khubaan Rahimi"/>
        <s v="Lailla Ibrahim"/>
        <s v="Zeenat Qaumi"/>
        <s v="Kamil Khandar"/>
        <s v="Maryam Ekhtiari"/>
        <s v="Sammy Arsen"/>
        <s v="Hafsah Javed"/>
        <s v="Duncan Fern"/>
        <s v="Marco Aicolino"/>
        <s v="Lilly Smith"/>
        <s v="Aaron Town"/>
        <s v="James Char"/>
        <s v="Megan Andrews"/>
        <s v="Lilly White"/>
        <s v="Sam Johnston"/>
        <s v="Jack grealish"/>
        <s v="Andre Onana"/>
        <s v="Van Dijk"/>
        <s v="Lioenl Messi"/>
        <s v="Cristiano "/>
        <s v="Amad Dialo"/>
        <s v="Varane Rafa"/>
        <s v="Peter Shmit"/>
      </sharedItems>
    </cacheField>
    <cacheField name="Order Date" numFmtId="14">
      <sharedItems containsSemiMixedTypes="0" containsNonDate="0" containsDate="1" containsString="0" minDate="2023-11-15T00:00:00" maxDate="2025-11-30T00:00:00" count="39">
        <d v="2024-11-11T00:00:00"/>
        <d v="2024-11-07T00:00:00"/>
        <d v="2024-05-01T00:00:00"/>
        <d v="2024-03-02T00:00:00"/>
        <d v="2025-01-06T00:00:00"/>
        <d v="2025-11-29T00:00:00"/>
        <d v="2024-02-14T00:00:00"/>
        <d v="2024-02-26T00:00:00"/>
        <d v="2025-07-23T00:00:00"/>
        <d v="2023-12-07T00:00:00"/>
        <d v="2025-04-29T00:00:00"/>
        <d v="2025-06-08T00:00:00"/>
        <d v="2024-10-03T00:00:00"/>
        <d v="2025-05-31T00:00:00"/>
        <d v="2025-08-05T00:00:00"/>
        <d v="2024-01-26T00:00:00"/>
        <d v="2025-05-18T00:00:00"/>
        <d v="2024-01-02T00:00:00"/>
        <d v="2024-06-18T00:00:00"/>
        <d v="2025-07-10T00:00:00"/>
        <d v="2025-09-21T00:00:00"/>
        <d v="2025-07-16T00:00:00"/>
        <d v="2024-09-25T00:00:00"/>
        <d v="2024-09-21T00:00:00"/>
        <d v="2025-01-07T00:00:00"/>
        <d v="2025-03-18T00:00:00"/>
        <d v="2024-03-26T00:00:00"/>
        <d v="2024-09-29T00:00:00"/>
        <d v="2025-04-20T00:00:00"/>
        <d v="2024-06-12T00:00:00"/>
        <d v="2023-12-04T00:00:00"/>
        <d v="2024-11-15T00:00:00"/>
        <d v="2023-11-15T00:00:00"/>
        <d v="2024-06-29T00:00:00"/>
        <d v="2025-11-21T00:00:00"/>
        <d v="2024-11-01T00:00:00"/>
        <d v="2024-02-10T00:00:00"/>
        <d v="2023-12-09T00:00:00"/>
        <d v="2025-09-08T00:00:00"/>
      </sharedItems>
    </cacheField>
    <cacheField name="Transaction Type" numFmtId="0">
      <sharedItems count="2">
        <s v="Cash"/>
        <s v="Card"/>
      </sharedItems>
    </cacheField>
    <cacheField name="Item Name" numFmtId="0">
      <sharedItems count="40">
        <s v="Lamb Doner"/>
        <s v="Chicken Doner"/>
        <s v="Lamb Shish"/>
        <s v="Chicken Shish"/>
        <s v="Kofte"/>
        <s v="Larkfield Special"/>
        <s v="Vegi Kebab"/>
        <s v="Spicy wings"/>
        <s v="Spicy BBQ wings"/>
        <s v="Chicken Nuggets"/>
        <s v="Chicken strips"/>
        <s v="Chicken popcorn"/>
        <s v="Lamb doner wrap"/>
        <s v="Chicken doner wrap"/>
        <s v="Lamb shish wrap"/>
        <s v="Chicken shish wrap"/>
        <s v="Chickeb Burger"/>
        <s v="Beef Burger"/>
        <s v="Shish burger"/>
        <s v="Special burger"/>
        <s v="Fresh salad"/>
        <s v="Greek salad"/>
        <s v="Coke"/>
        <s v="7Up"/>
        <s v="Tango"/>
        <s v="Rio"/>
        <s v="Diet Coke"/>
        <s v="Belgium Chocolate"/>
        <s v="Strawberry Cheesecake"/>
        <s v="Vanilla"/>
        <s v="Margherita"/>
        <s v="BBQ chicken "/>
        <s v="Hawainn"/>
        <s v="Chicken Supreme"/>
        <s v="Spicy"/>
        <s v="Larkfield specia pizza"/>
        <s v="Chicken Tikka"/>
        <s v="American Hot"/>
        <s v="Vegetirian "/>
        <s v="Vegetirian Hot"/>
      </sharedItems>
    </cacheField>
    <cacheField name="Total Value" numFmtId="7">
      <sharedItems containsSemiMixedTypes="0" containsString="0" containsNumber="1" minValue="1.25" maxValue="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R01"/>
    <x v="0"/>
    <x v="0"/>
    <x v="0"/>
    <x v="0"/>
    <n v="7"/>
  </r>
  <r>
    <s v="R02"/>
    <x v="1"/>
    <x v="1"/>
    <x v="1"/>
    <x v="1"/>
    <n v="7"/>
  </r>
  <r>
    <s v="R03"/>
    <x v="2"/>
    <x v="2"/>
    <x v="1"/>
    <x v="2"/>
    <n v="24"/>
  </r>
  <r>
    <s v="R04"/>
    <x v="3"/>
    <x v="3"/>
    <x v="0"/>
    <x v="3"/>
    <n v="8"/>
  </r>
  <r>
    <s v="R05"/>
    <x v="4"/>
    <x v="4"/>
    <x v="0"/>
    <x v="4"/>
    <n v="24"/>
  </r>
  <r>
    <s v="R06"/>
    <x v="5"/>
    <x v="5"/>
    <x v="1"/>
    <x v="5"/>
    <n v="25"/>
  </r>
  <r>
    <s v="R07"/>
    <x v="6"/>
    <x v="6"/>
    <x v="0"/>
    <x v="6"/>
    <n v="36"/>
  </r>
  <r>
    <s v="R08"/>
    <x v="7"/>
    <x v="7"/>
    <x v="0"/>
    <x v="7"/>
    <n v="15"/>
  </r>
  <r>
    <s v="R09"/>
    <x v="8"/>
    <x v="8"/>
    <x v="0"/>
    <x v="8"/>
    <n v="15"/>
  </r>
  <r>
    <s v="R10"/>
    <x v="9"/>
    <x v="9"/>
    <x v="0"/>
    <x v="9"/>
    <n v="10"/>
  </r>
  <r>
    <s v="R11"/>
    <x v="10"/>
    <x v="10"/>
    <x v="1"/>
    <x v="10"/>
    <n v="12"/>
  </r>
  <r>
    <s v="R12"/>
    <x v="11"/>
    <x v="11"/>
    <x v="0"/>
    <x v="11"/>
    <n v="36"/>
  </r>
  <r>
    <s v="R13"/>
    <x v="12"/>
    <x v="5"/>
    <x v="0"/>
    <x v="12"/>
    <n v="8"/>
  </r>
  <r>
    <s v="R14"/>
    <x v="13"/>
    <x v="12"/>
    <x v="0"/>
    <x v="13"/>
    <n v="32"/>
  </r>
  <r>
    <s v="R15"/>
    <x v="14"/>
    <x v="13"/>
    <x v="1"/>
    <x v="14"/>
    <n v="54"/>
  </r>
  <r>
    <s v="R16"/>
    <x v="15"/>
    <x v="14"/>
    <x v="1"/>
    <x v="15"/>
    <n v="36"/>
  </r>
  <r>
    <s v="R17"/>
    <x v="16"/>
    <x v="15"/>
    <x v="0"/>
    <x v="16"/>
    <n v="15"/>
  </r>
  <r>
    <s v="R18"/>
    <x v="17"/>
    <x v="16"/>
    <x v="0"/>
    <x v="17"/>
    <n v="6"/>
  </r>
  <r>
    <s v="R19"/>
    <x v="18"/>
    <x v="17"/>
    <x v="0"/>
    <x v="18"/>
    <n v="16"/>
  </r>
  <r>
    <s v="R20"/>
    <x v="19"/>
    <x v="18"/>
    <x v="0"/>
    <x v="19"/>
    <n v="30"/>
  </r>
  <r>
    <s v="R21"/>
    <x v="20"/>
    <x v="19"/>
    <x v="0"/>
    <x v="20"/>
    <n v="16"/>
  </r>
  <r>
    <s v="R22"/>
    <x v="21"/>
    <x v="20"/>
    <x v="0"/>
    <x v="21"/>
    <n v="10"/>
  </r>
  <r>
    <s v="R23"/>
    <x v="22"/>
    <x v="21"/>
    <x v="1"/>
    <x v="22"/>
    <n v="1.25"/>
  </r>
  <r>
    <s v="R24"/>
    <x v="23"/>
    <x v="22"/>
    <x v="0"/>
    <x v="23"/>
    <n v="2.5"/>
  </r>
  <r>
    <s v="R25"/>
    <x v="24"/>
    <x v="23"/>
    <x v="0"/>
    <x v="24"/>
    <n v="1.25"/>
  </r>
  <r>
    <s v="R26"/>
    <x v="25"/>
    <x v="24"/>
    <x v="1"/>
    <x v="25"/>
    <n v="1.25"/>
  </r>
  <r>
    <s v="R27"/>
    <x v="26"/>
    <x v="25"/>
    <x v="0"/>
    <x v="26"/>
    <n v="7.5"/>
  </r>
  <r>
    <s v="R28"/>
    <x v="27"/>
    <x v="26"/>
    <x v="0"/>
    <x v="27"/>
    <n v="35"/>
  </r>
  <r>
    <s v="R29"/>
    <x v="28"/>
    <x v="27"/>
    <x v="1"/>
    <x v="28"/>
    <n v="28"/>
  </r>
  <r>
    <s v="R30"/>
    <x v="29"/>
    <x v="28"/>
    <x v="1"/>
    <x v="29"/>
    <n v="28"/>
  </r>
  <r>
    <s v="R31"/>
    <x v="30"/>
    <x v="29"/>
    <x v="1"/>
    <x v="30"/>
    <n v="32"/>
  </r>
  <r>
    <s v="R32"/>
    <x v="31"/>
    <x v="30"/>
    <x v="1"/>
    <x v="31"/>
    <n v="20"/>
  </r>
  <r>
    <s v="R33"/>
    <x v="32"/>
    <x v="31"/>
    <x v="1"/>
    <x v="32"/>
    <n v="24"/>
  </r>
  <r>
    <s v="R34"/>
    <x v="33"/>
    <x v="32"/>
    <x v="0"/>
    <x v="33"/>
    <n v="48"/>
  </r>
  <r>
    <s v="R35"/>
    <x v="34"/>
    <x v="33"/>
    <x v="1"/>
    <x v="34"/>
    <n v="12"/>
  </r>
  <r>
    <s v="R36"/>
    <x v="35"/>
    <x v="34"/>
    <x v="0"/>
    <x v="35"/>
    <n v="90"/>
  </r>
  <r>
    <s v="R37"/>
    <x v="36"/>
    <x v="35"/>
    <x v="1"/>
    <x v="36"/>
    <n v="15"/>
  </r>
  <r>
    <s v="R38"/>
    <x v="37"/>
    <x v="36"/>
    <x v="0"/>
    <x v="37"/>
    <n v="75"/>
  </r>
  <r>
    <s v="R39"/>
    <x v="38"/>
    <x v="37"/>
    <x v="0"/>
    <x v="38"/>
    <n v="52"/>
  </r>
  <r>
    <s v="R40"/>
    <x v="39"/>
    <x v="38"/>
    <x v="1"/>
    <x v="39"/>
    <n v="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E6912-CF86-4D92-A188-E4175BDAD2F4}" name="Total Sales by Produc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0">
  <location ref="A3:B44" firstHeaderRow="1" firstDataRow="1" firstDataCol="1" rowPageCount="1" colPageCount="1"/>
  <pivotFields count="6">
    <pivotField showAll="0"/>
    <pivotField showAll="0"/>
    <pivotField axis="axisPage" numFmtId="14" showAll="0">
      <items count="40">
        <item x="32"/>
        <item x="30"/>
        <item x="9"/>
        <item x="37"/>
        <item x="17"/>
        <item x="15"/>
        <item x="36"/>
        <item x="6"/>
        <item x="7"/>
        <item x="3"/>
        <item x="26"/>
        <item x="2"/>
        <item x="29"/>
        <item x="18"/>
        <item x="33"/>
        <item x="23"/>
        <item x="22"/>
        <item x="27"/>
        <item x="12"/>
        <item x="35"/>
        <item x="1"/>
        <item x="0"/>
        <item x="31"/>
        <item x="4"/>
        <item x="24"/>
        <item x="25"/>
        <item x="28"/>
        <item x="10"/>
        <item x="16"/>
        <item x="13"/>
        <item x="11"/>
        <item x="19"/>
        <item x="21"/>
        <item x="8"/>
        <item x="14"/>
        <item x="38"/>
        <item x="20"/>
        <item x="34"/>
        <item x="5"/>
        <item t="default"/>
      </items>
    </pivotField>
    <pivotField showAll="0">
      <items count="3">
        <item x="1"/>
        <item x="0"/>
        <item t="default"/>
      </items>
    </pivotField>
    <pivotField axis="axisRow" showAll="0" sortType="ascending">
      <items count="41">
        <item x="23"/>
        <item x="37"/>
        <item x="31"/>
        <item x="17"/>
        <item x="27"/>
        <item x="16"/>
        <item x="1"/>
        <item x="13"/>
        <item x="9"/>
        <item x="11"/>
        <item x="3"/>
        <item x="15"/>
        <item x="10"/>
        <item x="33"/>
        <item x="36"/>
        <item x="22"/>
        <item x="26"/>
        <item x="20"/>
        <item x="21"/>
        <item x="32"/>
        <item x="4"/>
        <item x="0"/>
        <item x="12"/>
        <item x="2"/>
        <item x="14"/>
        <item x="35"/>
        <item x="5"/>
        <item x="30"/>
        <item x="25"/>
        <item x="18"/>
        <item x="19"/>
        <item x="34"/>
        <item x="8"/>
        <item x="7"/>
        <item x="28"/>
        <item x="24"/>
        <item x="29"/>
        <item x="38"/>
        <item x="39"/>
        <item x="6"/>
        <item t="default"/>
      </items>
    </pivotField>
    <pivotField dataField="1" numFmtId="7" showAll="0"/>
  </pivotFields>
  <rowFields count="1">
    <field x="4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Items count="1">
    <i/>
  </colItems>
  <pageFields count="1">
    <pageField fld="2" hier="-1"/>
  </pageFields>
  <dataFields count="1">
    <dataField name="Sum of Total Value" fld="5" baseField="4" baseItem="0" numFmtId="7"/>
  </dataFields>
  <conditionalFormats count="2">
    <conditionalFormat type="all"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4" count="4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</reference>
          </references>
        </pivotArea>
      </pivotAreas>
    </conditionalFormat>
    <conditionalFormat type="all"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4" count="4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</reference>
          </references>
        </pivotArea>
      </pivotAreas>
    </conditionalFormat>
  </conditionalFormats>
  <chartFormats count="1">
    <chartFormat chart="3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910F1-CE12-4394-8B98-EAFF2737EB99}" name="Neworderforumtable" displayName="Neworderforumtable" ref="A1:H2" totalsRowShown="0" headerRowDxfId="1">
  <autoFilter ref="A1:H2" xr:uid="{281910F1-CE12-4394-8B98-EAFF2737EB99}"/>
  <tableColumns count="8">
    <tableColumn id="1" xr3:uid="{C4D9CDB8-4BE0-450F-8BA5-23AA3D7FD24C}" name="Customer ID"/>
    <tableColumn id="2" xr3:uid="{3C690B3E-DDBD-460A-B021-ADB18A9F7354}" name="OrderID"/>
    <tableColumn id="3" xr3:uid="{ACEAEE01-DEDC-40E9-A108-9846FA7B62B2}" name="Item name"/>
    <tableColumn id="4" xr3:uid="{37A52916-0639-4707-9DD8-61A363A24196}" name="Quantity"/>
    <tableColumn id="5" xr3:uid="{2E6DC420-46B2-47A3-883F-ED3C51661CF8}" name="Price" dataDxfId="0">
      <calculatedColumnFormula>IFERROR(_xlfn.XLOOKUP(C2, Maindatabase!H:H, Maindatabase!K:K, ""), "")</calculatedColumnFormula>
    </tableColumn>
    <tableColumn id="7" xr3:uid="{03E16586-98A0-432D-9F69-5690A8AD1E8F}" name="Transaction type"/>
    <tableColumn id="8" xr3:uid="{5ECB2418-91B6-4CBF-BDCD-B47E2E14119B}" name="Order Date"/>
    <tableColumn id="9" xr3:uid="{1D27DED4-7692-452C-9278-FB72D906D4C6}" name="Driver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EEE97-EEEF-46DC-A0B1-4ED87544845D}">
  <sheetPr codeName="Sheet1"/>
  <dimension ref="A1:P51"/>
  <sheetViews>
    <sheetView zoomScale="70" zoomScaleNormal="70" workbookViewId="0">
      <selection activeCell="K7" sqref="K7"/>
    </sheetView>
  </sheetViews>
  <sheetFormatPr defaultRowHeight="14.4" x14ac:dyDescent="0.3"/>
  <cols>
    <col min="1" max="1" width="12.88671875" bestFit="1" customWidth="1"/>
    <col min="2" max="2" width="17.109375" bestFit="1" customWidth="1"/>
    <col min="3" max="3" width="21.44140625" bestFit="1" customWidth="1"/>
    <col min="4" max="4" width="42" bestFit="1" customWidth="1"/>
    <col min="5" max="5" width="47.33203125" bestFit="1" customWidth="1"/>
    <col min="6" max="6" width="10.5546875" bestFit="1" customWidth="1"/>
    <col min="7" max="7" width="7.109375" bestFit="1" customWidth="1"/>
    <col min="8" max="8" width="24.33203125" bestFit="1" customWidth="1"/>
    <col min="9" max="9" width="12.5546875" bestFit="1" customWidth="1"/>
    <col min="10" max="10" width="10" customWidth="1"/>
    <col min="11" max="11" width="8.109375" bestFit="1" customWidth="1"/>
    <col min="12" max="12" width="14.88671875" bestFit="1" customWidth="1"/>
    <col min="13" max="13" width="8.5546875" bestFit="1" customWidth="1"/>
    <col min="14" max="14" width="13.6640625" bestFit="1" customWidth="1"/>
    <col min="15" max="15" width="9.33203125" bestFit="1" customWidth="1"/>
    <col min="16" max="16" width="17.6640625" bestFit="1" customWidth="1"/>
  </cols>
  <sheetData>
    <row r="1" spans="1:16" x14ac:dyDescent="0.3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</row>
    <row r="2" spans="1:16" x14ac:dyDescent="0.3">
      <c r="A2" t="s">
        <v>16</v>
      </c>
      <c r="B2" s="1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>
        <v>3</v>
      </c>
      <c r="K2" s="2">
        <v>7</v>
      </c>
      <c r="L2">
        <v>50</v>
      </c>
      <c r="M2" t="s">
        <v>25</v>
      </c>
      <c r="N2" s="3">
        <v>45607</v>
      </c>
      <c r="O2" t="s">
        <v>26</v>
      </c>
      <c r="P2" t="s">
        <v>27</v>
      </c>
    </row>
    <row r="3" spans="1:16" x14ac:dyDescent="0.3">
      <c r="A3" t="s">
        <v>28</v>
      </c>
      <c r="B3" s="4" t="s">
        <v>29</v>
      </c>
      <c r="C3" t="s">
        <v>30</v>
      </c>
      <c r="D3" t="s">
        <v>31</v>
      </c>
      <c r="E3" t="s">
        <v>32</v>
      </c>
      <c r="F3" t="s">
        <v>33</v>
      </c>
      <c r="G3" t="s">
        <v>34</v>
      </c>
      <c r="H3" t="s">
        <v>35</v>
      </c>
      <c r="I3" t="s">
        <v>24</v>
      </c>
      <c r="J3">
        <v>1</v>
      </c>
      <c r="K3" s="2">
        <v>7</v>
      </c>
      <c r="L3">
        <v>50</v>
      </c>
      <c r="M3" t="s">
        <v>36</v>
      </c>
      <c r="N3" s="3">
        <v>45603</v>
      </c>
      <c r="O3" t="s">
        <v>37</v>
      </c>
      <c r="P3" t="s">
        <v>38</v>
      </c>
    </row>
    <row r="4" spans="1:16" x14ac:dyDescent="0.3">
      <c r="A4" t="s">
        <v>39</v>
      </c>
      <c r="B4" s="5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  <c r="H4" t="s">
        <v>46</v>
      </c>
      <c r="I4" t="s">
        <v>24</v>
      </c>
      <c r="J4">
        <v>4</v>
      </c>
      <c r="K4" s="2">
        <v>8</v>
      </c>
      <c r="L4">
        <v>55</v>
      </c>
      <c r="M4" t="s">
        <v>47</v>
      </c>
      <c r="N4" s="3">
        <v>45413</v>
      </c>
      <c r="O4" t="s">
        <v>26</v>
      </c>
      <c r="P4" t="s">
        <v>38</v>
      </c>
    </row>
    <row r="5" spans="1:16" x14ac:dyDescent="0.3">
      <c r="A5" t="s">
        <v>48</v>
      </c>
      <c r="B5" s="5" t="s">
        <v>49</v>
      </c>
      <c r="C5" t="s">
        <v>50</v>
      </c>
      <c r="D5" t="s">
        <v>51</v>
      </c>
      <c r="E5" t="s">
        <v>52</v>
      </c>
      <c r="F5" t="s">
        <v>53</v>
      </c>
      <c r="G5" t="s">
        <v>54</v>
      </c>
      <c r="H5" t="s">
        <v>55</v>
      </c>
      <c r="I5" t="s">
        <v>24</v>
      </c>
      <c r="J5">
        <v>1</v>
      </c>
      <c r="K5" s="2">
        <v>8</v>
      </c>
      <c r="L5">
        <v>55</v>
      </c>
      <c r="M5" t="s">
        <v>56</v>
      </c>
      <c r="N5" s="3">
        <v>45353</v>
      </c>
      <c r="O5" t="s">
        <v>57</v>
      </c>
      <c r="P5" t="s">
        <v>27</v>
      </c>
    </row>
    <row r="6" spans="1:16" x14ac:dyDescent="0.3">
      <c r="A6" t="s">
        <v>58</v>
      </c>
      <c r="B6" s="5" t="s">
        <v>59</v>
      </c>
      <c r="C6" t="s">
        <v>60</v>
      </c>
      <c r="D6" t="s">
        <v>61</v>
      </c>
      <c r="E6" t="s">
        <v>62</v>
      </c>
      <c r="F6" t="s">
        <v>63</v>
      </c>
      <c r="G6" t="s">
        <v>64</v>
      </c>
      <c r="H6" t="s">
        <v>65</v>
      </c>
      <c r="I6" t="s">
        <v>24</v>
      </c>
      <c r="J6">
        <v>4</v>
      </c>
      <c r="K6" s="2">
        <v>8</v>
      </c>
      <c r="L6">
        <v>50</v>
      </c>
      <c r="M6" t="s">
        <v>66</v>
      </c>
      <c r="N6" s="3">
        <v>45663</v>
      </c>
      <c r="O6" t="s">
        <v>26</v>
      </c>
      <c r="P6" t="s">
        <v>27</v>
      </c>
    </row>
    <row r="7" spans="1:16" x14ac:dyDescent="0.3">
      <c r="A7" t="s">
        <v>67</v>
      </c>
      <c r="B7" s="5" t="s">
        <v>68</v>
      </c>
      <c r="C7" t="s">
        <v>69</v>
      </c>
      <c r="D7" t="s">
        <v>70</v>
      </c>
      <c r="E7" t="s">
        <v>71</v>
      </c>
      <c r="F7" t="s">
        <v>72</v>
      </c>
      <c r="G7" t="s">
        <v>73</v>
      </c>
      <c r="H7" t="s">
        <v>74</v>
      </c>
      <c r="I7" t="s">
        <v>24</v>
      </c>
      <c r="J7">
        <v>2</v>
      </c>
      <c r="K7" s="2">
        <v>25</v>
      </c>
      <c r="L7">
        <v>10</v>
      </c>
      <c r="M7" t="s">
        <v>75</v>
      </c>
      <c r="N7" s="3">
        <v>45990</v>
      </c>
      <c r="O7" t="s">
        <v>26</v>
      </c>
      <c r="P7" t="s">
        <v>38</v>
      </c>
    </row>
    <row r="8" spans="1:16" x14ac:dyDescent="0.3">
      <c r="A8" t="s">
        <v>76</v>
      </c>
      <c r="B8" s="5" t="s">
        <v>77</v>
      </c>
      <c r="C8" t="s">
        <v>78</v>
      </c>
      <c r="D8" t="s">
        <v>79</v>
      </c>
      <c r="E8" t="s">
        <v>80</v>
      </c>
      <c r="F8" t="s">
        <v>81</v>
      </c>
      <c r="G8" t="s">
        <v>82</v>
      </c>
      <c r="H8" t="s">
        <v>83</v>
      </c>
      <c r="I8" t="s">
        <v>24</v>
      </c>
      <c r="J8">
        <v>3</v>
      </c>
      <c r="K8" s="2">
        <v>6</v>
      </c>
      <c r="L8">
        <v>50</v>
      </c>
      <c r="M8" t="s">
        <v>84</v>
      </c>
      <c r="N8" s="3">
        <v>45336</v>
      </c>
      <c r="O8" t="s">
        <v>26</v>
      </c>
      <c r="P8" t="s">
        <v>27</v>
      </c>
    </row>
    <row r="9" spans="1:16" x14ac:dyDescent="0.3">
      <c r="A9" t="s">
        <v>85</v>
      </c>
      <c r="B9" s="5" t="s">
        <v>86</v>
      </c>
      <c r="C9" t="s">
        <v>87</v>
      </c>
      <c r="D9" t="s">
        <v>88</v>
      </c>
      <c r="E9" t="s">
        <v>89</v>
      </c>
      <c r="F9" t="s">
        <v>90</v>
      </c>
      <c r="G9" t="s">
        <v>91</v>
      </c>
      <c r="H9" t="s">
        <v>92</v>
      </c>
      <c r="I9" t="s">
        <v>93</v>
      </c>
      <c r="J9">
        <v>3</v>
      </c>
      <c r="K9" s="2">
        <v>5</v>
      </c>
      <c r="L9">
        <v>50</v>
      </c>
      <c r="M9" t="s">
        <v>94</v>
      </c>
      <c r="N9" s="3">
        <v>45348</v>
      </c>
      <c r="O9" t="s">
        <v>57</v>
      </c>
      <c r="P9" t="s">
        <v>27</v>
      </c>
    </row>
    <row r="10" spans="1:16" x14ac:dyDescent="0.3">
      <c r="A10" t="s">
        <v>95</v>
      </c>
      <c r="B10" s="5" t="s">
        <v>96</v>
      </c>
      <c r="C10" t="s">
        <v>97</v>
      </c>
      <c r="D10" t="s">
        <v>98</v>
      </c>
      <c r="E10" t="s">
        <v>99</v>
      </c>
      <c r="F10" t="s">
        <v>100</v>
      </c>
      <c r="G10" t="s">
        <v>101</v>
      </c>
      <c r="H10" t="s">
        <v>102</v>
      </c>
      <c r="I10" t="s">
        <v>93</v>
      </c>
      <c r="J10">
        <v>1</v>
      </c>
      <c r="K10" s="2">
        <v>5</v>
      </c>
      <c r="L10">
        <v>50</v>
      </c>
      <c r="M10" t="s">
        <v>103</v>
      </c>
      <c r="N10" s="3">
        <v>45861</v>
      </c>
      <c r="O10" t="s">
        <v>104</v>
      </c>
      <c r="P10" t="s">
        <v>27</v>
      </c>
    </row>
    <row r="11" spans="1:16" x14ac:dyDescent="0.3">
      <c r="A11" t="s">
        <v>105</v>
      </c>
      <c r="B11" s="5" t="s">
        <v>106</v>
      </c>
      <c r="C11" t="s">
        <v>107</v>
      </c>
      <c r="D11" t="s">
        <v>108</v>
      </c>
      <c r="E11" t="s">
        <v>109</v>
      </c>
      <c r="F11" t="s">
        <v>110</v>
      </c>
      <c r="G11" t="s">
        <v>111</v>
      </c>
      <c r="H11" t="s">
        <v>112</v>
      </c>
      <c r="I11" t="s">
        <v>93</v>
      </c>
      <c r="J11">
        <v>1</v>
      </c>
      <c r="K11" s="2">
        <v>5</v>
      </c>
      <c r="L11">
        <v>50</v>
      </c>
      <c r="M11" t="s">
        <v>113</v>
      </c>
      <c r="N11" s="3">
        <v>45267</v>
      </c>
      <c r="O11" t="s">
        <v>57</v>
      </c>
      <c r="P11" t="s">
        <v>27</v>
      </c>
    </row>
    <row r="12" spans="1:16" x14ac:dyDescent="0.3">
      <c r="A12" t="s">
        <v>114</v>
      </c>
      <c r="B12" s="5" t="s">
        <v>115</v>
      </c>
      <c r="C12" t="s">
        <v>116</v>
      </c>
      <c r="D12" t="s">
        <v>117</v>
      </c>
      <c r="E12" t="s">
        <v>118</v>
      </c>
      <c r="F12" t="s">
        <v>119</v>
      </c>
      <c r="G12" t="s">
        <v>120</v>
      </c>
      <c r="H12" t="s">
        <v>121</v>
      </c>
      <c r="I12" t="s">
        <v>93</v>
      </c>
      <c r="J12">
        <v>2</v>
      </c>
      <c r="K12" s="2">
        <v>6</v>
      </c>
      <c r="L12">
        <v>50</v>
      </c>
      <c r="M12" t="s">
        <v>122</v>
      </c>
      <c r="N12" s="3">
        <v>45776</v>
      </c>
      <c r="O12" t="s">
        <v>26</v>
      </c>
      <c r="P12" t="s">
        <v>38</v>
      </c>
    </row>
    <row r="13" spans="1:16" x14ac:dyDescent="0.3">
      <c r="A13" t="s">
        <v>123</v>
      </c>
      <c r="B13" s="5" t="s">
        <v>124</v>
      </c>
      <c r="C13" t="s">
        <v>125</v>
      </c>
      <c r="D13" t="s">
        <v>126</v>
      </c>
      <c r="E13" t="s">
        <v>127</v>
      </c>
      <c r="F13" t="s">
        <v>128</v>
      </c>
      <c r="G13" t="s">
        <v>129</v>
      </c>
      <c r="H13" t="s">
        <v>130</v>
      </c>
      <c r="I13" t="s">
        <v>93</v>
      </c>
      <c r="J13">
        <v>2</v>
      </c>
      <c r="K13" s="2">
        <v>6</v>
      </c>
      <c r="L13">
        <v>18</v>
      </c>
      <c r="M13" t="s">
        <v>131</v>
      </c>
      <c r="N13" s="3">
        <v>45816</v>
      </c>
      <c r="O13" t="s">
        <v>26</v>
      </c>
      <c r="P13" t="s">
        <v>27</v>
      </c>
    </row>
    <row r="14" spans="1:16" x14ac:dyDescent="0.3">
      <c r="A14" t="s">
        <v>132</v>
      </c>
      <c r="B14" s="5" t="s">
        <v>133</v>
      </c>
      <c r="C14" t="s">
        <v>134</v>
      </c>
      <c r="D14" t="s">
        <v>135</v>
      </c>
      <c r="E14" t="s">
        <v>136</v>
      </c>
      <c r="F14" t="s">
        <v>137</v>
      </c>
      <c r="G14" t="s">
        <v>138</v>
      </c>
      <c r="H14" t="s">
        <v>139</v>
      </c>
      <c r="I14" t="s">
        <v>140</v>
      </c>
      <c r="J14">
        <v>1</v>
      </c>
      <c r="K14" s="2">
        <v>8</v>
      </c>
      <c r="L14">
        <v>110</v>
      </c>
      <c r="M14" t="s">
        <v>141</v>
      </c>
      <c r="N14" s="3">
        <v>45990</v>
      </c>
      <c r="O14" t="s">
        <v>37</v>
      </c>
      <c r="P14" t="s">
        <v>27</v>
      </c>
    </row>
    <row r="15" spans="1:16" x14ac:dyDescent="0.3">
      <c r="A15" t="s">
        <v>142</v>
      </c>
      <c r="B15" s="5" t="s">
        <v>143</v>
      </c>
      <c r="C15" t="s">
        <v>144</v>
      </c>
      <c r="D15" t="s">
        <v>145</v>
      </c>
      <c r="E15" t="s">
        <v>146</v>
      </c>
      <c r="F15" t="s">
        <v>147</v>
      </c>
      <c r="G15" t="s">
        <v>148</v>
      </c>
      <c r="H15" t="s">
        <v>149</v>
      </c>
      <c r="I15" t="s">
        <v>140</v>
      </c>
      <c r="J15">
        <v>1</v>
      </c>
      <c r="K15" s="2">
        <v>8</v>
      </c>
      <c r="L15">
        <v>100</v>
      </c>
      <c r="M15" t="s">
        <v>150</v>
      </c>
      <c r="N15" s="3">
        <v>45568</v>
      </c>
      <c r="O15" t="s">
        <v>37</v>
      </c>
      <c r="P15" t="s">
        <v>27</v>
      </c>
    </row>
    <row r="16" spans="1:16" x14ac:dyDescent="0.3">
      <c r="A16" t="s">
        <v>151</v>
      </c>
      <c r="B16" s="5" t="s">
        <v>152</v>
      </c>
      <c r="C16" t="s">
        <v>153</v>
      </c>
      <c r="D16" t="s">
        <v>154</v>
      </c>
      <c r="E16" t="s">
        <v>155</v>
      </c>
      <c r="F16" t="s">
        <v>156</v>
      </c>
      <c r="G16" t="s">
        <v>157</v>
      </c>
      <c r="H16" t="s">
        <v>158</v>
      </c>
      <c r="I16" t="s">
        <v>140</v>
      </c>
      <c r="J16">
        <v>4</v>
      </c>
      <c r="K16" s="2">
        <v>9</v>
      </c>
      <c r="L16">
        <v>100</v>
      </c>
      <c r="M16" t="s">
        <v>159</v>
      </c>
      <c r="N16" s="3">
        <v>45808</v>
      </c>
      <c r="O16" t="s">
        <v>57</v>
      </c>
      <c r="P16" t="s">
        <v>38</v>
      </c>
    </row>
    <row r="17" spans="1:16" x14ac:dyDescent="0.3">
      <c r="A17" t="s">
        <v>160</v>
      </c>
      <c r="B17" s="5" t="s">
        <v>161</v>
      </c>
      <c r="C17" t="s">
        <v>162</v>
      </c>
      <c r="D17" t="s">
        <v>163</v>
      </c>
      <c r="E17" t="s">
        <v>164</v>
      </c>
      <c r="F17" t="s">
        <v>165</v>
      </c>
      <c r="G17" t="s">
        <v>166</v>
      </c>
      <c r="H17" t="s">
        <v>167</v>
      </c>
      <c r="I17" t="s">
        <v>140</v>
      </c>
      <c r="J17">
        <v>1</v>
      </c>
      <c r="K17" s="2">
        <v>9</v>
      </c>
      <c r="L17">
        <v>100</v>
      </c>
      <c r="M17" t="s">
        <v>168</v>
      </c>
      <c r="N17" s="3">
        <v>45874</v>
      </c>
      <c r="O17" t="s">
        <v>37</v>
      </c>
      <c r="P17" t="s">
        <v>38</v>
      </c>
    </row>
    <row r="18" spans="1:16" x14ac:dyDescent="0.3">
      <c r="A18" t="s">
        <v>169</v>
      </c>
      <c r="B18" s="5" t="s">
        <v>170</v>
      </c>
      <c r="C18" t="s">
        <v>171</v>
      </c>
      <c r="D18" t="s">
        <v>172</v>
      </c>
      <c r="E18" t="s">
        <v>173</v>
      </c>
      <c r="F18" t="s">
        <v>174</v>
      </c>
      <c r="G18" t="s">
        <v>175</v>
      </c>
      <c r="H18" t="s">
        <v>176</v>
      </c>
      <c r="I18" t="s">
        <v>177</v>
      </c>
      <c r="J18">
        <v>4</v>
      </c>
      <c r="K18" s="2">
        <v>5</v>
      </c>
      <c r="L18">
        <v>90</v>
      </c>
      <c r="M18" t="s">
        <v>178</v>
      </c>
      <c r="N18" s="3">
        <v>45317</v>
      </c>
      <c r="O18" t="s">
        <v>37</v>
      </c>
      <c r="P18" t="s">
        <v>27</v>
      </c>
    </row>
    <row r="19" spans="1:16" x14ac:dyDescent="0.3">
      <c r="A19" t="s">
        <v>179</v>
      </c>
      <c r="B19" s="5" t="s">
        <v>180</v>
      </c>
      <c r="C19" t="s">
        <v>181</v>
      </c>
      <c r="D19" t="s">
        <v>182</v>
      </c>
      <c r="E19" t="s">
        <v>183</v>
      </c>
      <c r="F19" t="s">
        <v>184</v>
      </c>
      <c r="G19" t="s">
        <v>185</v>
      </c>
      <c r="H19" t="s">
        <v>186</v>
      </c>
      <c r="I19" t="s">
        <v>177</v>
      </c>
      <c r="J19">
        <v>1</v>
      </c>
      <c r="K19" s="2">
        <v>6</v>
      </c>
      <c r="L19">
        <v>90</v>
      </c>
      <c r="M19" t="s">
        <v>187</v>
      </c>
      <c r="N19" s="3">
        <v>45795</v>
      </c>
      <c r="O19" t="s">
        <v>57</v>
      </c>
      <c r="P19" t="s">
        <v>27</v>
      </c>
    </row>
    <row r="20" spans="1:16" x14ac:dyDescent="0.3">
      <c r="A20" t="s">
        <v>188</v>
      </c>
      <c r="B20" s="5" t="s">
        <v>189</v>
      </c>
      <c r="C20" t="s">
        <v>190</v>
      </c>
      <c r="D20" t="s">
        <v>191</v>
      </c>
      <c r="E20" t="s">
        <v>192</v>
      </c>
      <c r="F20" t="s">
        <v>193</v>
      </c>
      <c r="G20" t="s">
        <v>194</v>
      </c>
      <c r="H20" t="s">
        <v>195</v>
      </c>
      <c r="I20" t="s">
        <v>177</v>
      </c>
      <c r="J20">
        <v>1</v>
      </c>
      <c r="K20" s="2">
        <v>8</v>
      </c>
      <c r="L20">
        <v>90</v>
      </c>
      <c r="M20" t="s">
        <v>196</v>
      </c>
      <c r="N20" s="3">
        <v>45293</v>
      </c>
      <c r="O20" t="s">
        <v>37</v>
      </c>
      <c r="P20" t="s">
        <v>27</v>
      </c>
    </row>
    <row r="21" spans="1:16" x14ac:dyDescent="0.3">
      <c r="A21" t="s">
        <v>197</v>
      </c>
      <c r="B21" s="5" t="s">
        <v>198</v>
      </c>
      <c r="C21" t="s">
        <v>199</v>
      </c>
      <c r="D21" t="s">
        <v>200</v>
      </c>
      <c r="E21" t="s">
        <v>201</v>
      </c>
      <c r="F21" t="s">
        <v>202</v>
      </c>
      <c r="G21" t="s">
        <v>203</v>
      </c>
      <c r="H21" t="s">
        <v>204</v>
      </c>
      <c r="I21" t="s">
        <v>177</v>
      </c>
      <c r="J21">
        <v>4</v>
      </c>
      <c r="K21" s="2">
        <v>6</v>
      </c>
      <c r="L21">
        <v>90</v>
      </c>
      <c r="M21" t="s">
        <v>205</v>
      </c>
      <c r="N21" s="3">
        <v>45461</v>
      </c>
      <c r="O21" t="s">
        <v>26</v>
      </c>
      <c r="P21" t="s">
        <v>27</v>
      </c>
    </row>
    <row r="22" spans="1:16" x14ac:dyDescent="0.3">
      <c r="A22" t="s">
        <v>206</v>
      </c>
      <c r="B22" s="5" t="s">
        <v>207</v>
      </c>
      <c r="C22" t="s">
        <v>208</v>
      </c>
      <c r="D22" t="s">
        <v>209</v>
      </c>
      <c r="E22" t="s">
        <v>210</v>
      </c>
      <c r="F22" t="s">
        <v>211</v>
      </c>
      <c r="G22" t="s">
        <v>212</v>
      </c>
      <c r="H22" t="s">
        <v>213</v>
      </c>
      <c r="I22" t="s">
        <v>214</v>
      </c>
      <c r="J22">
        <v>1</v>
      </c>
      <c r="K22" s="2">
        <v>4</v>
      </c>
      <c r="L22">
        <v>30</v>
      </c>
      <c r="M22" t="s">
        <v>215</v>
      </c>
      <c r="N22" s="3">
        <v>45848</v>
      </c>
      <c r="O22" t="s">
        <v>26</v>
      </c>
      <c r="P22" t="s">
        <v>27</v>
      </c>
    </row>
    <row r="23" spans="1:16" x14ac:dyDescent="0.3">
      <c r="A23" t="s">
        <v>216</v>
      </c>
      <c r="B23" s="5" t="s">
        <v>217</v>
      </c>
      <c r="C23" t="s">
        <v>218</v>
      </c>
      <c r="D23" t="s">
        <v>219</v>
      </c>
      <c r="E23" t="s">
        <v>220</v>
      </c>
      <c r="F23" t="s">
        <v>221</v>
      </c>
      <c r="G23" t="s">
        <v>222</v>
      </c>
      <c r="H23" t="s">
        <v>223</v>
      </c>
      <c r="I23" t="s">
        <v>214</v>
      </c>
      <c r="J23">
        <v>4</v>
      </c>
      <c r="K23" s="2">
        <v>5</v>
      </c>
      <c r="L23">
        <v>20</v>
      </c>
      <c r="M23" t="s">
        <v>224</v>
      </c>
      <c r="N23" s="3">
        <v>45921</v>
      </c>
      <c r="O23" t="s">
        <v>26</v>
      </c>
      <c r="P23" t="s">
        <v>27</v>
      </c>
    </row>
    <row r="24" spans="1:16" x14ac:dyDescent="0.3">
      <c r="A24" t="s">
        <v>225</v>
      </c>
      <c r="B24" s="5" t="s">
        <v>226</v>
      </c>
      <c r="C24" t="s">
        <v>227</v>
      </c>
      <c r="D24" t="s">
        <v>228</v>
      </c>
      <c r="E24" t="s">
        <v>229</v>
      </c>
      <c r="F24" t="s">
        <v>230</v>
      </c>
      <c r="G24" t="s">
        <v>231</v>
      </c>
      <c r="H24" t="s">
        <v>232</v>
      </c>
      <c r="I24" t="s">
        <v>233</v>
      </c>
      <c r="J24">
        <v>2</v>
      </c>
      <c r="K24" s="2">
        <v>1.25</v>
      </c>
      <c r="L24">
        <v>100</v>
      </c>
      <c r="M24" t="s">
        <v>234</v>
      </c>
      <c r="N24" s="3">
        <v>45854</v>
      </c>
      <c r="O24" t="s">
        <v>37</v>
      </c>
      <c r="P24" t="s">
        <v>38</v>
      </c>
    </row>
    <row r="25" spans="1:16" x14ac:dyDescent="0.3">
      <c r="A25" t="s">
        <v>235</v>
      </c>
      <c r="B25" s="5" t="s">
        <v>236</v>
      </c>
      <c r="C25" t="s">
        <v>237</v>
      </c>
      <c r="D25" t="s">
        <v>238</v>
      </c>
      <c r="E25" t="s">
        <v>239</v>
      </c>
      <c r="F25" t="s">
        <v>240</v>
      </c>
      <c r="G25" t="s">
        <v>241</v>
      </c>
      <c r="H25" t="s">
        <v>242</v>
      </c>
      <c r="I25" t="s">
        <v>233</v>
      </c>
      <c r="J25">
        <v>1</v>
      </c>
      <c r="K25" s="2">
        <v>1.25</v>
      </c>
      <c r="L25">
        <v>100</v>
      </c>
      <c r="M25" t="s">
        <v>243</v>
      </c>
      <c r="N25" s="3">
        <v>45560</v>
      </c>
      <c r="O25" t="s">
        <v>57</v>
      </c>
      <c r="P25" t="s">
        <v>27</v>
      </c>
    </row>
    <row r="26" spans="1:16" x14ac:dyDescent="0.3">
      <c r="A26" t="s">
        <v>244</v>
      </c>
      <c r="B26" s="5" t="s">
        <v>245</v>
      </c>
      <c r="C26" t="s">
        <v>246</v>
      </c>
      <c r="D26" t="s">
        <v>247</v>
      </c>
      <c r="E26" t="s">
        <v>248</v>
      </c>
      <c r="F26" t="s">
        <v>249</v>
      </c>
      <c r="G26" t="s">
        <v>250</v>
      </c>
      <c r="H26" t="s">
        <v>251</v>
      </c>
      <c r="I26" t="s">
        <v>233</v>
      </c>
      <c r="J26">
        <v>1</v>
      </c>
      <c r="K26" s="2">
        <v>1.25</v>
      </c>
      <c r="L26">
        <v>100</v>
      </c>
      <c r="M26" t="s">
        <v>252</v>
      </c>
      <c r="N26" s="3">
        <v>45556</v>
      </c>
      <c r="O26" t="s">
        <v>26</v>
      </c>
      <c r="P26" t="s">
        <v>27</v>
      </c>
    </row>
    <row r="27" spans="1:16" x14ac:dyDescent="0.3">
      <c r="A27" t="s">
        <v>253</v>
      </c>
      <c r="B27" s="5" t="s">
        <v>254</v>
      </c>
      <c r="C27" t="s">
        <v>255</v>
      </c>
      <c r="D27" t="s">
        <v>256</v>
      </c>
      <c r="E27" t="s">
        <v>257</v>
      </c>
      <c r="F27" t="s">
        <v>258</v>
      </c>
      <c r="G27" t="s">
        <v>259</v>
      </c>
      <c r="H27" t="s">
        <v>260</v>
      </c>
      <c r="I27" t="s">
        <v>233</v>
      </c>
      <c r="J27">
        <v>4</v>
      </c>
      <c r="K27" s="2">
        <v>1.25</v>
      </c>
      <c r="L27">
        <v>100</v>
      </c>
      <c r="M27" t="s">
        <v>261</v>
      </c>
      <c r="N27" s="3">
        <v>45664</v>
      </c>
      <c r="O27" t="s">
        <v>26</v>
      </c>
      <c r="P27" t="s">
        <v>38</v>
      </c>
    </row>
    <row r="28" spans="1:16" x14ac:dyDescent="0.3">
      <c r="A28" t="s">
        <v>262</v>
      </c>
      <c r="B28" s="6" t="s">
        <v>263</v>
      </c>
      <c r="C28" t="s">
        <v>264</v>
      </c>
      <c r="D28" t="s">
        <v>265</v>
      </c>
      <c r="E28" t="s">
        <v>266</v>
      </c>
      <c r="F28" t="s">
        <v>267</v>
      </c>
      <c r="G28" t="s">
        <v>268</v>
      </c>
      <c r="H28" t="s">
        <v>269</v>
      </c>
      <c r="I28" t="s">
        <v>233</v>
      </c>
      <c r="J28">
        <v>4</v>
      </c>
      <c r="K28" s="2">
        <v>1.25</v>
      </c>
      <c r="L28">
        <v>100</v>
      </c>
      <c r="M28" t="s">
        <v>270</v>
      </c>
      <c r="N28" s="3">
        <v>45734</v>
      </c>
      <c r="O28" t="s">
        <v>57</v>
      </c>
      <c r="P28" t="s">
        <v>27</v>
      </c>
    </row>
    <row r="29" spans="1:16" x14ac:dyDescent="0.3">
      <c r="A29" t="s">
        <v>271</v>
      </c>
      <c r="B29" s="6" t="s">
        <v>272</v>
      </c>
      <c r="C29" t="s">
        <v>273</v>
      </c>
      <c r="D29" t="s">
        <v>274</v>
      </c>
      <c r="E29" t="s">
        <v>275</v>
      </c>
      <c r="F29" t="s">
        <v>276</v>
      </c>
      <c r="G29" t="s">
        <v>277</v>
      </c>
      <c r="H29" t="s">
        <v>278</v>
      </c>
      <c r="I29" t="s">
        <v>279</v>
      </c>
      <c r="J29">
        <v>2</v>
      </c>
      <c r="K29" s="2">
        <v>7</v>
      </c>
      <c r="L29">
        <v>5</v>
      </c>
      <c r="M29" t="s">
        <v>280</v>
      </c>
      <c r="N29" s="3">
        <v>45377</v>
      </c>
      <c r="O29" t="s">
        <v>37</v>
      </c>
      <c r="P29" t="s">
        <v>27</v>
      </c>
    </row>
    <row r="30" spans="1:16" x14ac:dyDescent="0.3">
      <c r="A30" t="s">
        <v>281</v>
      </c>
      <c r="B30" s="6" t="s">
        <v>282</v>
      </c>
      <c r="C30" t="s">
        <v>283</v>
      </c>
      <c r="D30" t="s">
        <v>284</v>
      </c>
      <c r="E30" t="s">
        <v>285</v>
      </c>
      <c r="F30" t="s">
        <v>286</v>
      </c>
      <c r="G30" t="s">
        <v>287</v>
      </c>
      <c r="H30" t="s">
        <v>288</v>
      </c>
      <c r="I30" t="s">
        <v>279</v>
      </c>
      <c r="J30">
        <v>1</v>
      </c>
      <c r="K30" s="2">
        <v>7</v>
      </c>
      <c r="L30">
        <v>95</v>
      </c>
      <c r="M30" t="s">
        <v>289</v>
      </c>
      <c r="N30" s="3">
        <v>45564</v>
      </c>
      <c r="O30" t="s">
        <v>57</v>
      </c>
      <c r="P30" t="s">
        <v>38</v>
      </c>
    </row>
    <row r="31" spans="1:16" x14ac:dyDescent="0.3">
      <c r="A31" t="s">
        <v>290</v>
      </c>
      <c r="B31" s="6" t="s">
        <v>291</v>
      </c>
      <c r="C31" t="s">
        <v>292</v>
      </c>
      <c r="D31" t="s">
        <v>293</v>
      </c>
      <c r="E31" t="s">
        <v>294</v>
      </c>
      <c r="F31" t="s">
        <v>295</v>
      </c>
      <c r="G31" t="s">
        <v>296</v>
      </c>
      <c r="H31" t="s">
        <v>297</v>
      </c>
      <c r="I31" t="s">
        <v>279</v>
      </c>
      <c r="J31">
        <v>3</v>
      </c>
      <c r="K31" s="2">
        <v>7</v>
      </c>
      <c r="L31">
        <v>17</v>
      </c>
      <c r="M31" t="s">
        <v>298</v>
      </c>
      <c r="N31" s="3">
        <v>45767</v>
      </c>
      <c r="O31" t="s">
        <v>26</v>
      </c>
      <c r="P31" t="s">
        <v>38</v>
      </c>
    </row>
    <row r="32" spans="1:16" x14ac:dyDescent="0.3">
      <c r="A32" t="s">
        <v>299</v>
      </c>
      <c r="B32" s="6" t="s">
        <v>300</v>
      </c>
      <c r="C32" t="s">
        <v>301</v>
      </c>
      <c r="D32" t="s">
        <v>302</v>
      </c>
      <c r="E32" t="s">
        <v>303</v>
      </c>
      <c r="F32" t="s">
        <v>304</v>
      </c>
      <c r="G32" t="s">
        <v>305</v>
      </c>
      <c r="H32" t="s">
        <v>306</v>
      </c>
      <c r="I32" t="s">
        <v>307</v>
      </c>
      <c r="J32">
        <v>3</v>
      </c>
      <c r="K32" s="2">
        <v>8</v>
      </c>
      <c r="L32">
        <v>41</v>
      </c>
      <c r="M32" t="s">
        <v>308</v>
      </c>
      <c r="N32" s="3">
        <v>45455</v>
      </c>
      <c r="O32" t="s">
        <v>26</v>
      </c>
      <c r="P32" t="s">
        <v>38</v>
      </c>
    </row>
    <row r="33" spans="1:16" x14ac:dyDescent="0.3">
      <c r="A33" t="s">
        <v>309</v>
      </c>
      <c r="B33" s="6" t="s">
        <v>310</v>
      </c>
      <c r="C33" t="s">
        <v>311</v>
      </c>
      <c r="D33" t="s">
        <v>312</v>
      </c>
      <c r="E33" t="s">
        <v>313</v>
      </c>
      <c r="F33" t="s">
        <v>314</v>
      </c>
      <c r="G33" t="s">
        <v>315</v>
      </c>
      <c r="H33" t="s">
        <v>316</v>
      </c>
      <c r="I33" t="s">
        <v>307</v>
      </c>
      <c r="J33">
        <v>4</v>
      </c>
      <c r="K33" s="2">
        <v>10</v>
      </c>
      <c r="L33">
        <v>15</v>
      </c>
      <c r="M33" t="s">
        <v>317</v>
      </c>
      <c r="N33" s="3">
        <v>45264</v>
      </c>
      <c r="O33" t="s">
        <v>104</v>
      </c>
      <c r="P33" t="s">
        <v>38</v>
      </c>
    </row>
    <row r="34" spans="1:16" x14ac:dyDescent="0.3">
      <c r="A34" t="s">
        <v>318</v>
      </c>
      <c r="B34" s="6" t="s">
        <v>319</v>
      </c>
      <c r="C34" t="s">
        <v>320</v>
      </c>
      <c r="D34" t="s">
        <v>321</v>
      </c>
      <c r="E34" t="s">
        <v>275</v>
      </c>
      <c r="F34" t="s">
        <v>276</v>
      </c>
      <c r="G34" t="s">
        <v>322</v>
      </c>
      <c r="H34" t="s">
        <v>323</v>
      </c>
      <c r="I34" t="s">
        <v>307</v>
      </c>
      <c r="J34">
        <v>4</v>
      </c>
      <c r="K34" s="2">
        <v>12</v>
      </c>
      <c r="L34">
        <v>78</v>
      </c>
      <c r="M34" t="s">
        <v>324</v>
      </c>
      <c r="N34" s="3">
        <v>45611</v>
      </c>
      <c r="O34" t="s">
        <v>104</v>
      </c>
      <c r="P34" t="s">
        <v>38</v>
      </c>
    </row>
    <row r="35" spans="1:16" x14ac:dyDescent="0.3">
      <c r="A35" t="s">
        <v>325</v>
      </c>
      <c r="B35" s="6" t="s">
        <v>326</v>
      </c>
      <c r="C35" t="s">
        <v>327</v>
      </c>
      <c r="D35" t="s">
        <v>328</v>
      </c>
      <c r="E35" t="s">
        <v>329</v>
      </c>
      <c r="F35" t="s">
        <v>330</v>
      </c>
      <c r="G35" t="s">
        <v>331</v>
      </c>
      <c r="H35" t="s">
        <v>332</v>
      </c>
      <c r="I35" t="s">
        <v>307</v>
      </c>
      <c r="J35">
        <v>2</v>
      </c>
      <c r="K35" s="2">
        <v>12</v>
      </c>
      <c r="L35">
        <v>55</v>
      </c>
      <c r="M35" t="s">
        <v>333</v>
      </c>
      <c r="N35" s="3">
        <v>45245</v>
      </c>
      <c r="O35" t="s">
        <v>104</v>
      </c>
      <c r="P35" t="s">
        <v>27</v>
      </c>
    </row>
    <row r="36" spans="1:16" x14ac:dyDescent="0.3">
      <c r="A36" t="s">
        <v>334</v>
      </c>
      <c r="B36" s="6" t="s">
        <v>335</v>
      </c>
      <c r="C36" t="s">
        <v>336</v>
      </c>
      <c r="D36" t="s">
        <v>337</v>
      </c>
      <c r="E36" t="s">
        <v>338</v>
      </c>
      <c r="F36" t="s">
        <v>339</v>
      </c>
      <c r="G36" t="s">
        <v>340</v>
      </c>
      <c r="H36" t="s">
        <v>341</v>
      </c>
      <c r="I36" t="s">
        <v>307</v>
      </c>
      <c r="J36">
        <v>4</v>
      </c>
      <c r="K36" s="2">
        <v>12</v>
      </c>
      <c r="L36">
        <v>63</v>
      </c>
      <c r="M36" t="s">
        <v>342</v>
      </c>
      <c r="N36" s="3">
        <v>45472</v>
      </c>
      <c r="O36" t="s">
        <v>37</v>
      </c>
      <c r="P36" t="s">
        <v>38</v>
      </c>
    </row>
    <row r="37" spans="1:16" x14ac:dyDescent="0.3">
      <c r="A37" t="s">
        <v>343</v>
      </c>
      <c r="B37" s="6" t="s">
        <v>344</v>
      </c>
      <c r="C37" t="s">
        <v>345</v>
      </c>
      <c r="D37" t="s">
        <v>346</v>
      </c>
      <c r="E37" t="s">
        <v>347</v>
      </c>
      <c r="F37" t="s">
        <v>348</v>
      </c>
      <c r="G37" t="s">
        <v>349</v>
      </c>
      <c r="H37" t="s">
        <v>350</v>
      </c>
      <c r="I37" t="s">
        <v>307</v>
      </c>
      <c r="J37">
        <v>2</v>
      </c>
      <c r="K37" s="2">
        <v>18</v>
      </c>
      <c r="L37">
        <v>41</v>
      </c>
      <c r="M37" t="s">
        <v>351</v>
      </c>
      <c r="N37" s="3">
        <v>45982</v>
      </c>
      <c r="O37" t="s">
        <v>26</v>
      </c>
      <c r="P37" t="s">
        <v>27</v>
      </c>
    </row>
    <row r="38" spans="1:16" x14ac:dyDescent="0.3">
      <c r="A38" t="s">
        <v>352</v>
      </c>
      <c r="B38" s="6" t="s">
        <v>353</v>
      </c>
      <c r="C38" t="s">
        <v>354</v>
      </c>
      <c r="D38" t="s">
        <v>355</v>
      </c>
      <c r="E38" t="s">
        <v>356</v>
      </c>
      <c r="F38" t="s">
        <v>357</v>
      </c>
      <c r="G38" t="s">
        <v>358</v>
      </c>
      <c r="H38" t="s">
        <v>359</v>
      </c>
      <c r="I38" t="s">
        <v>307</v>
      </c>
      <c r="J38">
        <v>4</v>
      </c>
      <c r="K38" s="2">
        <v>15</v>
      </c>
      <c r="L38">
        <v>22</v>
      </c>
      <c r="M38" t="s">
        <v>360</v>
      </c>
      <c r="N38" s="3">
        <v>45597</v>
      </c>
      <c r="O38" t="s">
        <v>104</v>
      </c>
      <c r="P38" t="s">
        <v>38</v>
      </c>
    </row>
    <row r="39" spans="1:16" x14ac:dyDescent="0.3">
      <c r="A39" t="s">
        <v>361</v>
      </c>
      <c r="B39" s="6" t="s">
        <v>362</v>
      </c>
      <c r="C39" t="s">
        <v>363</v>
      </c>
      <c r="D39" t="s">
        <v>364</v>
      </c>
      <c r="E39" t="s">
        <v>365</v>
      </c>
      <c r="F39" t="s">
        <v>366</v>
      </c>
      <c r="G39" t="s">
        <v>367</v>
      </c>
      <c r="H39" t="s">
        <v>368</v>
      </c>
      <c r="I39" t="s">
        <v>307</v>
      </c>
      <c r="J39">
        <v>2</v>
      </c>
      <c r="K39" s="2">
        <v>15</v>
      </c>
      <c r="L39">
        <v>29</v>
      </c>
      <c r="M39" t="s">
        <v>369</v>
      </c>
      <c r="N39" s="3">
        <v>45332</v>
      </c>
      <c r="O39" t="s">
        <v>26</v>
      </c>
      <c r="P39" t="s">
        <v>27</v>
      </c>
    </row>
    <row r="40" spans="1:16" x14ac:dyDescent="0.3">
      <c r="A40" t="s">
        <v>370</v>
      </c>
      <c r="B40" s="6" t="s">
        <v>371</v>
      </c>
      <c r="C40" t="s">
        <v>372</v>
      </c>
      <c r="D40" t="s">
        <v>373</v>
      </c>
      <c r="E40" t="s">
        <v>374</v>
      </c>
      <c r="F40" t="s">
        <v>375</v>
      </c>
      <c r="G40" t="s">
        <v>376</v>
      </c>
      <c r="H40" t="s">
        <v>377</v>
      </c>
      <c r="I40" t="s">
        <v>307</v>
      </c>
      <c r="J40">
        <v>3</v>
      </c>
      <c r="K40" s="2">
        <v>13</v>
      </c>
      <c r="L40">
        <v>54</v>
      </c>
      <c r="M40" t="s">
        <v>378</v>
      </c>
      <c r="N40" s="3">
        <v>45269</v>
      </c>
      <c r="O40" t="s">
        <v>26</v>
      </c>
      <c r="P40" t="s">
        <v>27</v>
      </c>
    </row>
    <row r="41" spans="1:16" x14ac:dyDescent="0.3">
      <c r="A41" t="s">
        <v>379</v>
      </c>
      <c r="B41" s="6" t="s">
        <v>380</v>
      </c>
      <c r="C41" t="s">
        <v>381</v>
      </c>
      <c r="D41" t="s">
        <v>382</v>
      </c>
      <c r="E41" t="s">
        <v>383</v>
      </c>
      <c r="F41" t="s">
        <v>384</v>
      </c>
      <c r="G41" t="s">
        <v>385</v>
      </c>
      <c r="H41" t="s">
        <v>386</v>
      </c>
      <c r="I41" t="s">
        <v>307</v>
      </c>
      <c r="J41">
        <v>2</v>
      </c>
      <c r="K41" s="2">
        <v>13</v>
      </c>
      <c r="L41">
        <v>55</v>
      </c>
      <c r="M41" t="s">
        <v>387</v>
      </c>
      <c r="N41" s="3">
        <v>45908</v>
      </c>
      <c r="O41" t="s">
        <v>26</v>
      </c>
      <c r="P41" t="s">
        <v>38</v>
      </c>
    </row>
    <row r="42" spans="1:16" x14ac:dyDescent="0.3">
      <c r="N42" s="3"/>
    </row>
    <row r="43" spans="1:16" x14ac:dyDescent="0.3">
      <c r="N43" s="3"/>
    </row>
    <row r="44" spans="1:16" x14ac:dyDescent="0.3">
      <c r="N44" s="3"/>
    </row>
    <row r="45" spans="1:16" x14ac:dyDescent="0.3">
      <c r="N45" s="3"/>
    </row>
    <row r="46" spans="1:16" x14ac:dyDescent="0.3">
      <c r="N46" s="3"/>
    </row>
    <row r="47" spans="1:16" x14ac:dyDescent="0.3">
      <c r="N47" s="3"/>
    </row>
    <row r="48" spans="1:16" x14ac:dyDescent="0.3">
      <c r="N48" s="3"/>
    </row>
    <row r="49" spans="14:14" x14ac:dyDescent="0.3">
      <c r="N49" s="3"/>
    </row>
    <row r="50" spans="14:14" x14ac:dyDescent="0.3">
      <c r="N50" s="3"/>
    </row>
    <row r="51" spans="14:14" x14ac:dyDescent="0.3">
      <c r="N5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49197-0713-4C72-B626-3DBB2203DBEC}">
  <sheetPr codeName="Sheet2"/>
  <dimension ref="A1:F41"/>
  <sheetViews>
    <sheetView workbookViewId="0">
      <selection activeCell="I19" sqref="I19"/>
    </sheetView>
  </sheetViews>
  <sheetFormatPr defaultRowHeight="14.4" x14ac:dyDescent="0.3"/>
  <cols>
    <col min="2" max="2" width="14.5546875" bestFit="1" customWidth="1"/>
    <col min="3" max="3" width="10.33203125" bestFit="1" customWidth="1"/>
    <col min="4" max="4" width="15" bestFit="1" customWidth="1"/>
    <col min="5" max="5" width="20.21875" bestFit="1" customWidth="1"/>
    <col min="9" max="9" width="18.109375" bestFit="1" customWidth="1"/>
  </cols>
  <sheetData>
    <row r="1" spans="1:6" x14ac:dyDescent="0.3">
      <c r="A1" s="7" t="s">
        <v>388</v>
      </c>
      <c r="B1" s="7" t="s">
        <v>389</v>
      </c>
      <c r="C1" s="7" t="s">
        <v>390</v>
      </c>
      <c r="D1" s="7" t="s">
        <v>391</v>
      </c>
      <c r="E1" s="7" t="s">
        <v>398</v>
      </c>
      <c r="F1" s="7" t="s">
        <v>392</v>
      </c>
    </row>
    <row r="2" spans="1:6" x14ac:dyDescent="0.3">
      <c r="A2" t="s">
        <v>25</v>
      </c>
      <c r="B2" t="s">
        <v>17</v>
      </c>
      <c r="C2" s="3">
        <v>45607</v>
      </c>
      <c r="D2" s="9" t="s">
        <v>27</v>
      </c>
      <c r="E2" t="s">
        <v>23</v>
      </c>
      <c r="F2" s="8">
        <v>7</v>
      </c>
    </row>
    <row r="3" spans="1:6" x14ac:dyDescent="0.3">
      <c r="A3" t="s">
        <v>36</v>
      </c>
      <c r="B3" t="s">
        <v>29</v>
      </c>
      <c r="C3" s="3">
        <v>45603</v>
      </c>
      <c r="D3" s="12" t="s">
        <v>38</v>
      </c>
      <c r="E3" t="s">
        <v>35</v>
      </c>
      <c r="F3" s="8">
        <v>7</v>
      </c>
    </row>
    <row r="4" spans="1:6" x14ac:dyDescent="0.3">
      <c r="A4" t="s">
        <v>47</v>
      </c>
      <c r="B4" t="s">
        <v>40</v>
      </c>
      <c r="C4" s="3">
        <v>45413</v>
      </c>
      <c r="D4" s="12" t="s">
        <v>38</v>
      </c>
      <c r="E4" t="s">
        <v>46</v>
      </c>
      <c r="F4" s="8">
        <v>24</v>
      </c>
    </row>
    <row r="5" spans="1:6" x14ac:dyDescent="0.3">
      <c r="A5" t="s">
        <v>56</v>
      </c>
      <c r="B5" t="s">
        <v>49</v>
      </c>
      <c r="C5" s="3">
        <v>45353</v>
      </c>
      <c r="D5" s="9" t="s">
        <v>27</v>
      </c>
      <c r="E5" t="s">
        <v>55</v>
      </c>
      <c r="F5" s="8">
        <v>8</v>
      </c>
    </row>
    <row r="6" spans="1:6" x14ac:dyDescent="0.3">
      <c r="A6" t="s">
        <v>66</v>
      </c>
      <c r="B6" t="s">
        <v>59</v>
      </c>
      <c r="C6" s="3">
        <v>45663</v>
      </c>
      <c r="D6" s="9" t="s">
        <v>27</v>
      </c>
      <c r="E6" t="s">
        <v>65</v>
      </c>
      <c r="F6" s="8">
        <v>24</v>
      </c>
    </row>
    <row r="7" spans="1:6" x14ac:dyDescent="0.3">
      <c r="A7" t="s">
        <v>75</v>
      </c>
      <c r="B7" t="s">
        <v>68</v>
      </c>
      <c r="C7" s="3">
        <v>45990</v>
      </c>
      <c r="D7" s="12" t="s">
        <v>38</v>
      </c>
      <c r="E7" t="s">
        <v>74</v>
      </c>
      <c r="F7" s="8">
        <v>25</v>
      </c>
    </row>
    <row r="8" spans="1:6" x14ac:dyDescent="0.3">
      <c r="A8" t="s">
        <v>84</v>
      </c>
      <c r="B8" t="s">
        <v>77</v>
      </c>
      <c r="C8" s="3">
        <v>45336</v>
      </c>
      <c r="D8" s="9" t="s">
        <v>27</v>
      </c>
      <c r="E8" t="s">
        <v>83</v>
      </c>
      <c r="F8" s="8">
        <v>36</v>
      </c>
    </row>
    <row r="9" spans="1:6" x14ac:dyDescent="0.3">
      <c r="A9" t="s">
        <v>94</v>
      </c>
      <c r="B9" t="s">
        <v>86</v>
      </c>
      <c r="C9" s="3">
        <v>45348</v>
      </c>
      <c r="D9" s="9" t="s">
        <v>27</v>
      </c>
      <c r="E9" t="s">
        <v>92</v>
      </c>
      <c r="F9" s="8">
        <v>15</v>
      </c>
    </row>
    <row r="10" spans="1:6" x14ac:dyDescent="0.3">
      <c r="A10" t="s">
        <v>103</v>
      </c>
      <c r="B10" t="s">
        <v>96</v>
      </c>
      <c r="C10" s="3">
        <v>45861</v>
      </c>
      <c r="D10" s="9" t="s">
        <v>27</v>
      </c>
      <c r="E10" t="s">
        <v>102</v>
      </c>
      <c r="F10" s="8">
        <v>15</v>
      </c>
    </row>
    <row r="11" spans="1:6" x14ac:dyDescent="0.3">
      <c r="A11" t="s">
        <v>113</v>
      </c>
      <c r="B11" t="s">
        <v>106</v>
      </c>
      <c r="C11" s="3">
        <v>45267</v>
      </c>
      <c r="D11" s="9" t="s">
        <v>27</v>
      </c>
      <c r="E11" t="s">
        <v>112</v>
      </c>
      <c r="F11" s="8">
        <v>10</v>
      </c>
    </row>
    <row r="12" spans="1:6" x14ac:dyDescent="0.3">
      <c r="A12" t="s">
        <v>122</v>
      </c>
      <c r="B12" t="s">
        <v>115</v>
      </c>
      <c r="C12" s="3">
        <v>45776</v>
      </c>
      <c r="D12" s="12" t="s">
        <v>38</v>
      </c>
      <c r="E12" t="s">
        <v>121</v>
      </c>
      <c r="F12" s="8">
        <v>12</v>
      </c>
    </row>
    <row r="13" spans="1:6" x14ac:dyDescent="0.3">
      <c r="A13" t="s">
        <v>131</v>
      </c>
      <c r="B13" t="s">
        <v>124</v>
      </c>
      <c r="C13" s="3">
        <v>45816</v>
      </c>
      <c r="D13" s="9" t="s">
        <v>27</v>
      </c>
      <c r="E13" t="s">
        <v>130</v>
      </c>
      <c r="F13" s="8">
        <v>36</v>
      </c>
    </row>
    <row r="14" spans="1:6" x14ac:dyDescent="0.3">
      <c r="A14" t="s">
        <v>141</v>
      </c>
      <c r="B14" t="s">
        <v>133</v>
      </c>
      <c r="C14" s="3">
        <v>45990</v>
      </c>
      <c r="D14" s="9" t="s">
        <v>27</v>
      </c>
      <c r="E14" t="s">
        <v>139</v>
      </c>
      <c r="F14" s="8">
        <v>8</v>
      </c>
    </row>
    <row r="15" spans="1:6" x14ac:dyDescent="0.3">
      <c r="A15" t="s">
        <v>150</v>
      </c>
      <c r="B15" t="s">
        <v>143</v>
      </c>
      <c r="C15" s="3">
        <v>45568</v>
      </c>
      <c r="D15" s="9" t="s">
        <v>27</v>
      </c>
      <c r="E15" t="s">
        <v>149</v>
      </c>
      <c r="F15" s="8">
        <v>32</v>
      </c>
    </row>
    <row r="16" spans="1:6" x14ac:dyDescent="0.3">
      <c r="A16" t="s">
        <v>159</v>
      </c>
      <c r="B16" t="s">
        <v>152</v>
      </c>
      <c r="C16" s="3">
        <v>45808</v>
      </c>
      <c r="D16" s="12" t="s">
        <v>38</v>
      </c>
      <c r="E16" t="s">
        <v>158</v>
      </c>
      <c r="F16" s="8">
        <v>54</v>
      </c>
    </row>
    <row r="17" spans="1:6" x14ac:dyDescent="0.3">
      <c r="A17" t="s">
        <v>168</v>
      </c>
      <c r="B17" t="s">
        <v>161</v>
      </c>
      <c r="C17" s="3">
        <v>45874</v>
      </c>
      <c r="D17" s="12" t="s">
        <v>38</v>
      </c>
      <c r="E17" t="s">
        <v>167</v>
      </c>
      <c r="F17" s="8">
        <v>36</v>
      </c>
    </row>
    <row r="18" spans="1:6" x14ac:dyDescent="0.3">
      <c r="A18" t="s">
        <v>178</v>
      </c>
      <c r="B18" t="s">
        <v>170</v>
      </c>
      <c r="C18" s="3">
        <v>45317</v>
      </c>
      <c r="D18" s="9" t="s">
        <v>27</v>
      </c>
      <c r="E18" t="s">
        <v>176</v>
      </c>
      <c r="F18" s="8">
        <v>15</v>
      </c>
    </row>
    <row r="19" spans="1:6" x14ac:dyDescent="0.3">
      <c r="A19" t="s">
        <v>187</v>
      </c>
      <c r="B19" t="s">
        <v>180</v>
      </c>
      <c r="C19" s="3">
        <v>45795</v>
      </c>
      <c r="D19" s="9" t="s">
        <v>27</v>
      </c>
      <c r="E19" t="s">
        <v>186</v>
      </c>
      <c r="F19" s="8">
        <v>6</v>
      </c>
    </row>
    <row r="20" spans="1:6" x14ac:dyDescent="0.3">
      <c r="A20" t="s">
        <v>196</v>
      </c>
      <c r="B20" t="s">
        <v>189</v>
      </c>
      <c r="C20" s="3">
        <v>45293</v>
      </c>
      <c r="D20" s="9" t="s">
        <v>27</v>
      </c>
      <c r="E20" t="s">
        <v>195</v>
      </c>
      <c r="F20" s="8">
        <v>16</v>
      </c>
    </row>
    <row r="21" spans="1:6" x14ac:dyDescent="0.3">
      <c r="A21" t="s">
        <v>205</v>
      </c>
      <c r="B21" t="s">
        <v>198</v>
      </c>
      <c r="C21" s="3">
        <v>45461</v>
      </c>
      <c r="D21" s="9" t="s">
        <v>27</v>
      </c>
      <c r="E21" t="s">
        <v>204</v>
      </c>
      <c r="F21" s="8">
        <v>30</v>
      </c>
    </row>
    <row r="22" spans="1:6" x14ac:dyDescent="0.3">
      <c r="A22" t="s">
        <v>215</v>
      </c>
      <c r="B22" t="s">
        <v>207</v>
      </c>
      <c r="C22" s="3">
        <v>45848</v>
      </c>
      <c r="D22" s="9" t="s">
        <v>27</v>
      </c>
      <c r="E22" t="s">
        <v>213</v>
      </c>
      <c r="F22" s="8">
        <v>16</v>
      </c>
    </row>
    <row r="23" spans="1:6" x14ac:dyDescent="0.3">
      <c r="A23" t="s">
        <v>224</v>
      </c>
      <c r="B23" t="s">
        <v>217</v>
      </c>
      <c r="C23" s="3">
        <v>45921</v>
      </c>
      <c r="D23" s="9" t="s">
        <v>27</v>
      </c>
      <c r="E23" t="s">
        <v>223</v>
      </c>
      <c r="F23" s="8">
        <v>10</v>
      </c>
    </row>
    <row r="24" spans="1:6" x14ac:dyDescent="0.3">
      <c r="A24" t="s">
        <v>234</v>
      </c>
      <c r="B24" t="s">
        <v>226</v>
      </c>
      <c r="C24" s="3">
        <v>45854</v>
      </c>
      <c r="D24" s="12" t="s">
        <v>38</v>
      </c>
      <c r="E24" t="s">
        <v>232</v>
      </c>
      <c r="F24" s="8">
        <v>1.25</v>
      </c>
    </row>
    <row r="25" spans="1:6" x14ac:dyDescent="0.3">
      <c r="A25" t="s">
        <v>243</v>
      </c>
      <c r="B25" t="s">
        <v>236</v>
      </c>
      <c r="C25" s="3">
        <v>45560</v>
      </c>
      <c r="D25" s="9" t="s">
        <v>27</v>
      </c>
      <c r="E25" t="s">
        <v>242</v>
      </c>
      <c r="F25" s="8">
        <v>2.5</v>
      </c>
    </row>
    <row r="26" spans="1:6" x14ac:dyDescent="0.3">
      <c r="A26" t="s">
        <v>252</v>
      </c>
      <c r="B26" t="s">
        <v>245</v>
      </c>
      <c r="C26" s="3">
        <v>45556</v>
      </c>
      <c r="D26" s="9" t="s">
        <v>27</v>
      </c>
      <c r="E26" t="s">
        <v>251</v>
      </c>
      <c r="F26" s="8">
        <v>1.25</v>
      </c>
    </row>
    <row r="27" spans="1:6" x14ac:dyDescent="0.3">
      <c r="A27" t="s">
        <v>261</v>
      </c>
      <c r="B27" t="s">
        <v>254</v>
      </c>
      <c r="C27" s="3">
        <v>45664</v>
      </c>
      <c r="D27" s="12" t="s">
        <v>38</v>
      </c>
      <c r="E27" t="s">
        <v>260</v>
      </c>
      <c r="F27" s="8">
        <v>1.25</v>
      </c>
    </row>
    <row r="28" spans="1:6" x14ac:dyDescent="0.3">
      <c r="A28" t="s">
        <v>270</v>
      </c>
      <c r="B28" t="s">
        <v>263</v>
      </c>
      <c r="C28" s="3">
        <v>45734</v>
      </c>
      <c r="D28" s="9" t="s">
        <v>27</v>
      </c>
      <c r="E28" t="s">
        <v>269</v>
      </c>
      <c r="F28" s="8">
        <v>7.5</v>
      </c>
    </row>
    <row r="29" spans="1:6" x14ac:dyDescent="0.3">
      <c r="A29" t="s">
        <v>280</v>
      </c>
      <c r="B29" t="s">
        <v>272</v>
      </c>
      <c r="C29" s="3">
        <v>45377</v>
      </c>
      <c r="D29" s="9" t="s">
        <v>27</v>
      </c>
      <c r="E29" t="s">
        <v>278</v>
      </c>
      <c r="F29" s="8">
        <v>35</v>
      </c>
    </row>
    <row r="30" spans="1:6" x14ac:dyDescent="0.3">
      <c r="A30" t="s">
        <v>289</v>
      </c>
      <c r="B30" t="s">
        <v>282</v>
      </c>
      <c r="C30" s="3">
        <v>45564</v>
      </c>
      <c r="D30" s="12" t="s">
        <v>38</v>
      </c>
      <c r="E30" t="s">
        <v>288</v>
      </c>
      <c r="F30" s="8">
        <v>28</v>
      </c>
    </row>
    <row r="31" spans="1:6" x14ac:dyDescent="0.3">
      <c r="A31" t="s">
        <v>298</v>
      </c>
      <c r="B31" t="s">
        <v>291</v>
      </c>
      <c r="C31" s="3">
        <v>45767</v>
      </c>
      <c r="D31" s="12" t="s">
        <v>38</v>
      </c>
      <c r="E31" t="s">
        <v>297</v>
      </c>
      <c r="F31" s="8">
        <v>28</v>
      </c>
    </row>
    <row r="32" spans="1:6" x14ac:dyDescent="0.3">
      <c r="A32" t="s">
        <v>308</v>
      </c>
      <c r="B32" t="s">
        <v>300</v>
      </c>
      <c r="C32" s="3">
        <v>45455</v>
      </c>
      <c r="D32" s="12" t="s">
        <v>38</v>
      </c>
      <c r="E32" t="s">
        <v>306</v>
      </c>
      <c r="F32" s="8">
        <v>32</v>
      </c>
    </row>
    <row r="33" spans="1:6" x14ac:dyDescent="0.3">
      <c r="A33" t="s">
        <v>317</v>
      </c>
      <c r="B33" t="s">
        <v>310</v>
      </c>
      <c r="C33" s="3">
        <v>45264</v>
      </c>
      <c r="D33" s="12" t="s">
        <v>38</v>
      </c>
      <c r="E33" t="s">
        <v>316</v>
      </c>
      <c r="F33" s="8">
        <v>20</v>
      </c>
    </row>
    <row r="34" spans="1:6" x14ac:dyDescent="0.3">
      <c r="A34" t="s">
        <v>324</v>
      </c>
      <c r="B34" t="s">
        <v>319</v>
      </c>
      <c r="C34" s="3">
        <v>45611</v>
      </c>
      <c r="D34" s="12" t="s">
        <v>38</v>
      </c>
      <c r="E34" t="s">
        <v>323</v>
      </c>
      <c r="F34" s="8">
        <v>24</v>
      </c>
    </row>
    <row r="35" spans="1:6" x14ac:dyDescent="0.3">
      <c r="A35" t="s">
        <v>333</v>
      </c>
      <c r="B35" t="s">
        <v>326</v>
      </c>
      <c r="C35" s="3">
        <v>45245</v>
      </c>
      <c r="D35" s="9" t="s">
        <v>27</v>
      </c>
      <c r="E35" t="s">
        <v>332</v>
      </c>
      <c r="F35" s="8">
        <v>48</v>
      </c>
    </row>
    <row r="36" spans="1:6" x14ac:dyDescent="0.3">
      <c r="A36" t="s">
        <v>342</v>
      </c>
      <c r="B36" t="s">
        <v>335</v>
      </c>
      <c r="C36" s="3">
        <v>45472</v>
      </c>
      <c r="D36" s="12" t="s">
        <v>38</v>
      </c>
      <c r="E36" t="s">
        <v>341</v>
      </c>
      <c r="F36" s="8">
        <v>12</v>
      </c>
    </row>
    <row r="37" spans="1:6" x14ac:dyDescent="0.3">
      <c r="A37" t="s">
        <v>351</v>
      </c>
      <c r="B37" t="s">
        <v>344</v>
      </c>
      <c r="C37" s="3">
        <v>45982</v>
      </c>
      <c r="D37" s="9" t="s">
        <v>27</v>
      </c>
      <c r="E37" t="s">
        <v>350</v>
      </c>
      <c r="F37" s="8">
        <v>90</v>
      </c>
    </row>
    <row r="38" spans="1:6" x14ac:dyDescent="0.3">
      <c r="A38" t="s">
        <v>360</v>
      </c>
      <c r="B38" t="s">
        <v>353</v>
      </c>
      <c r="C38" s="3">
        <v>45597</v>
      </c>
      <c r="D38" s="12" t="s">
        <v>38</v>
      </c>
      <c r="E38" t="s">
        <v>359</v>
      </c>
      <c r="F38" s="8">
        <v>15</v>
      </c>
    </row>
    <row r="39" spans="1:6" x14ac:dyDescent="0.3">
      <c r="A39" t="s">
        <v>369</v>
      </c>
      <c r="B39" t="s">
        <v>362</v>
      </c>
      <c r="C39" s="3">
        <v>45332</v>
      </c>
      <c r="D39" s="9" t="s">
        <v>27</v>
      </c>
      <c r="E39" t="s">
        <v>368</v>
      </c>
      <c r="F39" s="8">
        <v>75</v>
      </c>
    </row>
    <row r="40" spans="1:6" x14ac:dyDescent="0.3">
      <c r="A40" t="s">
        <v>378</v>
      </c>
      <c r="B40" t="s">
        <v>371</v>
      </c>
      <c r="C40" s="3">
        <v>45269</v>
      </c>
      <c r="D40" s="9" t="s">
        <v>27</v>
      </c>
      <c r="E40" t="s">
        <v>377</v>
      </c>
      <c r="F40" s="8">
        <v>52</v>
      </c>
    </row>
    <row r="41" spans="1:6" x14ac:dyDescent="0.3">
      <c r="A41" t="s">
        <v>387</v>
      </c>
      <c r="B41" t="s">
        <v>380</v>
      </c>
      <c r="C41" s="3">
        <v>45908</v>
      </c>
      <c r="D41" s="12" t="s">
        <v>38</v>
      </c>
      <c r="E41" t="s">
        <v>386</v>
      </c>
      <c r="F41" s="8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rdersSummary">
                <anchor moveWithCells="1">
                  <from>
                    <xdr:col>7</xdr:col>
                    <xdr:colOff>22860</xdr:colOff>
                    <xdr:row>0</xdr:row>
                    <xdr:rowOff>160020</xdr:rowOff>
                  </from>
                  <to>
                    <xdr:col>8</xdr:col>
                    <xdr:colOff>1043940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FDA08-D7EC-4A9E-B383-414435C1042A}">
  <sheetPr codeName="Sheet4"/>
  <dimension ref="A1:B44"/>
  <sheetViews>
    <sheetView zoomScale="60" zoomScaleNormal="60" workbookViewId="0">
      <selection activeCell="T23" sqref="T23"/>
    </sheetView>
  </sheetViews>
  <sheetFormatPr defaultRowHeight="14.4" x14ac:dyDescent="0.3"/>
  <cols>
    <col min="1" max="1" width="20.21875" bestFit="1" customWidth="1"/>
    <col min="2" max="2" width="16.21875" bestFit="1" customWidth="1"/>
    <col min="3" max="3" width="7.5546875" bestFit="1" customWidth="1"/>
    <col min="4" max="4" width="10.5546875" bestFit="1" customWidth="1"/>
  </cols>
  <sheetData>
    <row r="1" spans="1:2" x14ac:dyDescent="0.3">
      <c r="A1" s="10" t="s">
        <v>390</v>
      </c>
      <c r="B1" t="s">
        <v>400</v>
      </c>
    </row>
    <row r="3" spans="1:2" x14ac:dyDescent="0.3">
      <c r="A3" s="10" t="s">
        <v>396</v>
      </c>
      <c r="B3" t="s">
        <v>399</v>
      </c>
    </row>
    <row r="4" spans="1:2" x14ac:dyDescent="0.3">
      <c r="A4" s="11" t="s">
        <v>242</v>
      </c>
      <c r="B4" s="8">
        <v>2.5</v>
      </c>
    </row>
    <row r="5" spans="1:2" x14ac:dyDescent="0.3">
      <c r="A5" s="11" t="s">
        <v>368</v>
      </c>
      <c r="B5" s="8">
        <v>75</v>
      </c>
    </row>
    <row r="6" spans="1:2" x14ac:dyDescent="0.3">
      <c r="A6" s="11" t="s">
        <v>316</v>
      </c>
      <c r="B6" s="8">
        <v>20</v>
      </c>
    </row>
    <row r="7" spans="1:2" x14ac:dyDescent="0.3">
      <c r="A7" s="11" t="s">
        <v>186</v>
      </c>
      <c r="B7" s="8">
        <v>6</v>
      </c>
    </row>
    <row r="8" spans="1:2" x14ac:dyDescent="0.3">
      <c r="A8" s="11" t="s">
        <v>278</v>
      </c>
      <c r="B8" s="8">
        <v>35</v>
      </c>
    </row>
    <row r="9" spans="1:2" x14ac:dyDescent="0.3">
      <c r="A9" s="11" t="s">
        <v>176</v>
      </c>
      <c r="B9" s="8">
        <v>15</v>
      </c>
    </row>
    <row r="10" spans="1:2" x14ac:dyDescent="0.3">
      <c r="A10" s="11" t="s">
        <v>35</v>
      </c>
      <c r="B10" s="8">
        <v>7</v>
      </c>
    </row>
    <row r="11" spans="1:2" x14ac:dyDescent="0.3">
      <c r="A11" s="11" t="s">
        <v>149</v>
      </c>
      <c r="B11" s="8">
        <v>32</v>
      </c>
    </row>
    <row r="12" spans="1:2" x14ac:dyDescent="0.3">
      <c r="A12" s="11" t="s">
        <v>112</v>
      </c>
      <c r="B12" s="8">
        <v>10</v>
      </c>
    </row>
    <row r="13" spans="1:2" x14ac:dyDescent="0.3">
      <c r="A13" s="11" t="s">
        <v>130</v>
      </c>
      <c r="B13" s="8">
        <v>36</v>
      </c>
    </row>
    <row r="14" spans="1:2" x14ac:dyDescent="0.3">
      <c r="A14" s="11" t="s">
        <v>55</v>
      </c>
      <c r="B14" s="8">
        <v>8</v>
      </c>
    </row>
    <row r="15" spans="1:2" x14ac:dyDescent="0.3">
      <c r="A15" s="11" t="s">
        <v>167</v>
      </c>
      <c r="B15" s="8">
        <v>36</v>
      </c>
    </row>
    <row r="16" spans="1:2" x14ac:dyDescent="0.3">
      <c r="A16" s="11" t="s">
        <v>121</v>
      </c>
      <c r="B16" s="8">
        <v>12</v>
      </c>
    </row>
    <row r="17" spans="1:2" x14ac:dyDescent="0.3">
      <c r="A17" s="11" t="s">
        <v>332</v>
      </c>
      <c r="B17" s="8">
        <v>48</v>
      </c>
    </row>
    <row r="18" spans="1:2" x14ac:dyDescent="0.3">
      <c r="A18" s="11" t="s">
        <v>359</v>
      </c>
      <c r="B18" s="8">
        <v>15</v>
      </c>
    </row>
    <row r="19" spans="1:2" x14ac:dyDescent="0.3">
      <c r="A19" s="11" t="s">
        <v>232</v>
      </c>
      <c r="B19" s="8">
        <v>1.25</v>
      </c>
    </row>
    <row r="20" spans="1:2" x14ac:dyDescent="0.3">
      <c r="A20" s="11" t="s">
        <v>269</v>
      </c>
      <c r="B20" s="8">
        <v>7.5</v>
      </c>
    </row>
    <row r="21" spans="1:2" x14ac:dyDescent="0.3">
      <c r="A21" s="11" t="s">
        <v>213</v>
      </c>
      <c r="B21" s="8">
        <v>16</v>
      </c>
    </row>
    <row r="22" spans="1:2" x14ac:dyDescent="0.3">
      <c r="A22" s="11" t="s">
        <v>223</v>
      </c>
      <c r="B22" s="8">
        <v>10</v>
      </c>
    </row>
    <row r="23" spans="1:2" x14ac:dyDescent="0.3">
      <c r="A23" s="11" t="s">
        <v>323</v>
      </c>
      <c r="B23" s="8">
        <v>24</v>
      </c>
    </row>
    <row r="24" spans="1:2" x14ac:dyDescent="0.3">
      <c r="A24" s="11" t="s">
        <v>65</v>
      </c>
      <c r="B24" s="8">
        <v>24</v>
      </c>
    </row>
    <row r="25" spans="1:2" x14ac:dyDescent="0.3">
      <c r="A25" s="11" t="s">
        <v>23</v>
      </c>
      <c r="B25" s="8">
        <v>7</v>
      </c>
    </row>
    <row r="26" spans="1:2" x14ac:dyDescent="0.3">
      <c r="A26" s="11" t="s">
        <v>139</v>
      </c>
      <c r="B26" s="8">
        <v>8</v>
      </c>
    </row>
    <row r="27" spans="1:2" x14ac:dyDescent="0.3">
      <c r="A27" s="11" t="s">
        <v>46</v>
      </c>
      <c r="B27" s="8">
        <v>24</v>
      </c>
    </row>
    <row r="28" spans="1:2" x14ac:dyDescent="0.3">
      <c r="A28" s="11" t="s">
        <v>158</v>
      </c>
      <c r="B28" s="8">
        <v>54</v>
      </c>
    </row>
    <row r="29" spans="1:2" x14ac:dyDescent="0.3">
      <c r="A29" s="11" t="s">
        <v>350</v>
      </c>
      <c r="B29" s="8">
        <v>90</v>
      </c>
    </row>
    <row r="30" spans="1:2" x14ac:dyDescent="0.3">
      <c r="A30" s="11" t="s">
        <v>74</v>
      </c>
      <c r="B30" s="8">
        <v>25</v>
      </c>
    </row>
    <row r="31" spans="1:2" x14ac:dyDescent="0.3">
      <c r="A31" s="11" t="s">
        <v>306</v>
      </c>
      <c r="B31" s="8">
        <v>32</v>
      </c>
    </row>
    <row r="32" spans="1:2" x14ac:dyDescent="0.3">
      <c r="A32" s="11" t="s">
        <v>260</v>
      </c>
      <c r="B32" s="8">
        <v>1.25</v>
      </c>
    </row>
    <row r="33" spans="1:2" x14ac:dyDescent="0.3">
      <c r="A33" s="11" t="s">
        <v>195</v>
      </c>
      <c r="B33" s="8">
        <v>16</v>
      </c>
    </row>
    <row r="34" spans="1:2" x14ac:dyDescent="0.3">
      <c r="A34" s="11" t="s">
        <v>204</v>
      </c>
      <c r="B34" s="8">
        <v>30</v>
      </c>
    </row>
    <row r="35" spans="1:2" x14ac:dyDescent="0.3">
      <c r="A35" s="11" t="s">
        <v>341</v>
      </c>
      <c r="B35" s="8">
        <v>12</v>
      </c>
    </row>
    <row r="36" spans="1:2" x14ac:dyDescent="0.3">
      <c r="A36" s="11" t="s">
        <v>102</v>
      </c>
      <c r="B36" s="8">
        <v>15</v>
      </c>
    </row>
    <row r="37" spans="1:2" x14ac:dyDescent="0.3">
      <c r="A37" s="11" t="s">
        <v>92</v>
      </c>
      <c r="B37" s="8">
        <v>15</v>
      </c>
    </row>
    <row r="38" spans="1:2" x14ac:dyDescent="0.3">
      <c r="A38" s="11" t="s">
        <v>288</v>
      </c>
      <c r="B38" s="8">
        <v>28</v>
      </c>
    </row>
    <row r="39" spans="1:2" x14ac:dyDescent="0.3">
      <c r="A39" s="11" t="s">
        <v>251</v>
      </c>
      <c r="B39" s="8">
        <v>1.25</v>
      </c>
    </row>
    <row r="40" spans="1:2" x14ac:dyDescent="0.3">
      <c r="A40" s="11" t="s">
        <v>297</v>
      </c>
      <c r="B40" s="8">
        <v>28</v>
      </c>
    </row>
    <row r="41" spans="1:2" x14ac:dyDescent="0.3">
      <c r="A41" s="11" t="s">
        <v>377</v>
      </c>
      <c r="B41" s="8">
        <v>52</v>
      </c>
    </row>
    <row r="42" spans="1:2" x14ac:dyDescent="0.3">
      <c r="A42" s="11" t="s">
        <v>386</v>
      </c>
      <c r="B42" s="8">
        <v>39</v>
      </c>
    </row>
    <row r="43" spans="1:2" x14ac:dyDescent="0.3">
      <c r="A43" s="11" t="s">
        <v>83</v>
      </c>
      <c r="B43" s="8">
        <v>36</v>
      </c>
    </row>
    <row r="44" spans="1:2" x14ac:dyDescent="0.3">
      <c r="A44" s="11" t="s">
        <v>397</v>
      </c>
      <c r="B44" s="8">
        <v>953.75</v>
      </c>
    </row>
  </sheetData>
  <conditionalFormatting pivot="1" sqref="B4:B43">
    <cfRule type="top10" dxfId="3" priority="2" percent="1" rank="10"/>
  </conditionalFormatting>
  <conditionalFormatting pivot="1" sqref="B4:B43">
    <cfRule type="top10" dxfId="2" priority="1" percent="1" bottom="1" rank="10"/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14762-947F-4F72-97E3-1E89E09D060E}">
  <sheetPr codeName="Sheet6"/>
  <dimension ref="A1:E2"/>
  <sheetViews>
    <sheetView workbookViewId="0">
      <selection activeCell="E14" sqref="E14"/>
    </sheetView>
  </sheetViews>
  <sheetFormatPr defaultRowHeight="14.4" x14ac:dyDescent="0.3"/>
  <cols>
    <col min="1" max="1" width="14.5546875" bestFit="1" customWidth="1"/>
    <col min="2" max="2" width="7.88671875" bestFit="1" customWidth="1"/>
    <col min="3" max="3" width="10.33203125" bestFit="1" customWidth="1"/>
    <col min="4" max="4" width="15" bestFit="1" customWidth="1"/>
    <col min="5" max="5" width="10.109375" bestFit="1" customWidth="1"/>
  </cols>
  <sheetData>
    <row r="1" spans="1:5" s="7" customFormat="1" x14ac:dyDescent="0.3">
      <c r="A1" s="7" t="s">
        <v>389</v>
      </c>
      <c r="B1" s="7" t="s">
        <v>388</v>
      </c>
      <c r="C1" s="7" t="s">
        <v>390</v>
      </c>
      <c r="D1" s="7" t="s">
        <v>391</v>
      </c>
      <c r="E1" s="7" t="s">
        <v>392</v>
      </c>
    </row>
    <row r="2" spans="1:5" x14ac:dyDescent="0.3">
      <c r="A2" t="s">
        <v>17</v>
      </c>
      <c r="B2" t="s">
        <v>25</v>
      </c>
      <c r="C2" s="3">
        <v>45607</v>
      </c>
      <c r="D2" t="s">
        <v>27</v>
      </c>
      <c r="E2" s="8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tCustomerDetails">
                <anchor moveWithCells="1">
                  <from>
                    <xdr:col>5</xdr:col>
                    <xdr:colOff>571500</xdr:colOff>
                    <xdr:row>2</xdr:row>
                    <xdr:rowOff>30480</xdr:rowOff>
                  </from>
                  <to>
                    <xdr:col>9</xdr:col>
                    <xdr:colOff>373380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5BBE0-CFC1-43C5-BB13-C8A97EE598F0}">
  <sheetPr codeName="Sheet3"/>
  <dimension ref="A1:H2"/>
  <sheetViews>
    <sheetView tabSelected="1" workbookViewId="0">
      <selection activeCell="D13" sqref="D13"/>
    </sheetView>
  </sheetViews>
  <sheetFormatPr defaultRowHeight="14.4" x14ac:dyDescent="0.3"/>
  <cols>
    <col min="1" max="1" width="13.44140625" bestFit="1" customWidth="1"/>
    <col min="2" max="2" width="9.44140625" customWidth="1"/>
    <col min="3" max="3" width="12.77734375" bestFit="1" customWidth="1"/>
    <col min="4" max="4" width="10.33203125" bestFit="1" customWidth="1"/>
    <col min="5" max="5" width="7.5546875" bestFit="1" customWidth="1"/>
    <col min="6" max="6" width="17" bestFit="1" customWidth="1"/>
    <col min="7" max="7" width="12.21875" bestFit="1" customWidth="1"/>
    <col min="8" max="8" width="13.5546875" bestFit="1" customWidth="1"/>
  </cols>
  <sheetData>
    <row r="1" spans="1:8" x14ac:dyDescent="0.3">
      <c r="A1" s="13" t="s">
        <v>393</v>
      </c>
      <c r="B1" s="14" t="s">
        <v>12</v>
      </c>
      <c r="C1" s="14" t="s">
        <v>395</v>
      </c>
      <c r="D1" s="14" t="s">
        <v>9</v>
      </c>
      <c r="E1" s="14" t="s">
        <v>10</v>
      </c>
      <c r="F1" s="14" t="s">
        <v>394</v>
      </c>
      <c r="G1" s="15" t="s">
        <v>390</v>
      </c>
      <c r="H1" s="16" t="s">
        <v>14</v>
      </c>
    </row>
    <row r="2" spans="1:8" x14ac:dyDescent="0.3">
      <c r="E2" s="17">
        <f>IFERROR(_xlfn.XLOOKUP(C2, Maindatabase!H:H, Maindatabase!K:K, ""), "")</f>
        <v>0</v>
      </c>
      <c r="G2" s="3"/>
    </row>
  </sheetData>
  <dataValidations count="5">
    <dataValidation type="date" allowBlank="1" showInputMessage="1" showErrorMessage="1" sqref="G2" xr:uid="{39595A23-3DF1-491C-98D0-311377D3A2E0}">
      <formula1>NOW()</formula1>
      <formula2>NOW()+365</formula2>
    </dataValidation>
    <dataValidation type="whole" errorStyle="warning" allowBlank="1" showInputMessage="1" showErrorMessage="1" errorTitle="HIGH NUMBER" error="Are you sure this is the correct quantity number for the requested item? " sqref="D2" xr:uid="{B1798B7B-CBC8-4A04-BC60-4B61354A7B7F}">
      <formula1>1</formula1>
      <formula2>50</formula2>
    </dataValidation>
    <dataValidation type="list" allowBlank="1" showInputMessage="1" showErrorMessage="1" errorTitle="Incorrect transaction type" error="Please choose the correct payment type" sqref="F2" xr:uid="{63DB2FC2-77F7-48CF-9A3C-960C2BA40252}">
      <formula1>"Cash,Card"</formula1>
    </dataValidation>
    <dataValidation type="list" allowBlank="1" showInputMessage="1" showErrorMessage="1" sqref="H2" xr:uid="{70603219-3E76-4B84-97E5-0727AB0F5408}">
      <formula1>"Cosmin, Peter, Anton, Shiva"</formula1>
    </dataValidation>
    <dataValidation type="custom" allowBlank="1" showInputMessage="1" showErrorMessage="1" errorTitle="Incorrect format for Order ID" error="Please enter the OrderID in the correct format, staring with R and then digits_x000a_" sqref="B2" xr:uid="{AC58C9E5-5A1C-4F2C-94B7-7E310D2200BD}">
      <formula1>AND(LEFT(B2,1)="R", ISNUMBER(--MID(B2,2,LEN(B2)-1)))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AddNewOrder">
                <anchor moveWithCells="1">
                  <from>
                    <xdr:col>2</xdr:col>
                    <xdr:colOff>106680</xdr:colOff>
                    <xdr:row>2</xdr:row>
                    <xdr:rowOff>175260</xdr:rowOff>
                  </from>
                  <to>
                    <xdr:col>3</xdr:col>
                    <xdr:colOff>541020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Incorrect Customer ID" error="Please enter the correct format of CustomerID. " xr:uid="{43EAE8BB-8AD8-4257-804D-EA578F4C82A6}">
          <x14:formula1>
            <xm:f>Maindatabase!$A$2:$A$41</xm:f>
          </x14:formula1>
          <xm:sqref>A2</xm:sqref>
        </x14:dataValidation>
        <x14:dataValidation type="list" allowBlank="1" showInputMessage="1" showErrorMessage="1" errorTitle="Incorrect Item Name" error="Please select from the item's available" xr:uid="{807A5D3D-0B72-4FE9-90A9-79539CA4D848}">
          <x14:formula1>
            <xm:f>Maindatabase!$H$2:$H$41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Maindatabase</vt:lpstr>
      <vt:lpstr>Order Summary</vt:lpstr>
      <vt:lpstr>Pivot table</vt:lpstr>
      <vt:lpstr>Customer details</vt:lpstr>
      <vt:lpstr>NewOrder</vt:lpstr>
      <vt:lpstr>Customer_Details</vt:lpstr>
      <vt:lpstr>Maindatabase</vt:lpstr>
      <vt:lpstr>Order_summary</vt:lpstr>
      <vt:lpstr>Pivotable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Rahim Haidari</dc:creator>
  <cp:lastModifiedBy>Rahim Haidari</cp:lastModifiedBy>
  <dcterms:created xsi:type="dcterms:W3CDTF">2025-01-24T23:33:34Z</dcterms:created>
  <dcterms:modified xsi:type="dcterms:W3CDTF">2025-01-26T02:29:26Z</dcterms:modified>
</cp:coreProperties>
</file>